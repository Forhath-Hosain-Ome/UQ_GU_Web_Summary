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rhath PC\Downloads\tEMPLATE\"/>
    </mc:Choice>
  </mc:AlternateContent>
  <xr:revisionPtr revIDLastSave="0" documentId="13_ncr:1_{45D28BB0-145D-4B6D-8743-909FA4C56D67}" xr6:coauthVersionLast="47" xr6:coauthVersionMax="47" xr10:uidLastSave="{00000000-0000-0000-0000-000000000000}"/>
  <bookViews>
    <workbookView xWindow="-120" yWindow="-120" windowWidth="29040" windowHeight="16440" tabRatio="570" xr2:uid="{00000000-000D-0000-FFFF-FFFF00000000}"/>
  </bookViews>
  <sheets>
    <sheet name="INLINE" sheetId="8" r:id="rId1"/>
  </sheets>
  <definedNames>
    <definedName name="_xlnm.Print_Area" localSheetId="0">INLINE!$A$1:$BC$24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8" l="1"/>
  <c r="I6" i="8"/>
  <c r="O6" i="8"/>
  <c r="R6" i="8"/>
  <c r="S6" i="8" s="1"/>
  <c r="F7" i="8"/>
  <c r="I7" i="8"/>
  <c r="O7" i="8"/>
  <c r="R7" i="8"/>
  <c r="S7" i="8" s="1"/>
  <c r="F8" i="8"/>
  <c r="I8" i="8"/>
  <c r="O8" i="8"/>
  <c r="R8" i="8"/>
  <c r="S8" i="8"/>
  <c r="F9" i="8"/>
  <c r="I9" i="8"/>
  <c r="O9" i="8"/>
  <c r="R9" i="8"/>
  <c r="S9" i="8"/>
  <c r="F10" i="8"/>
  <c r="I10" i="8"/>
  <c r="O10" i="8"/>
  <c r="R10" i="8"/>
  <c r="S10" i="8" s="1"/>
  <c r="F11" i="8"/>
  <c r="I11" i="8"/>
  <c r="O11" i="8"/>
  <c r="R11" i="8"/>
  <c r="S11" i="8"/>
  <c r="F12" i="8"/>
  <c r="I12" i="8"/>
  <c r="O12" i="8"/>
  <c r="R12" i="8"/>
  <c r="S12" i="8"/>
  <c r="F13" i="8"/>
  <c r="I13" i="8"/>
  <c r="O13" i="8"/>
  <c r="R13" i="8"/>
  <c r="S13" i="8" s="1"/>
  <c r="F14" i="8"/>
  <c r="I14" i="8"/>
  <c r="O14" i="8"/>
  <c r="R14" i="8"/>
  <c r="S14" i="8"/>
  <c r="F15" i="8"/>
  <c r="I15" i="8"/>
  <c r="O15" i="8"/>
  <c r="R15" i="8"/>
  <c r="S15" i="8"/>
  <c r="F16" i="8"/>
  <c r="I16" i="8"/>
  <c r="O16" i="8"/>
  <c r="R16" i="8"/>
  <c r="S16" i="8" s="1"/>
  <c r="F17" i="8"/>
  <c r="I17" i="8"/>
  <c r="O17" i="8"/>
  <c r="R17" i="8"/>
  <c r="S17" i="8"/>
  <c r="F18" i="8"/>
  <c r="I18" i="8"/>
  <c r="O18" i="8"/>
  <c r="R18" i="8"/>
  <c r="S18" i="8"/>
  <c r="U4" i="8"/>
  <c r="V4" i="8"/>
  <c r="W4" i="8"/>
  <c r="X4" i="8"/>
  <c r="Y4" i="8"/>
  <c r="Z4" i="8"/>
  <c r="I24" i="8"/>
  <c r="F23" i="8"/>
  <c r="F24" i="8"/>
  <c r="I23" i="8"/>
  <c r="O23" i="8"/>
  <c r="O24" i="8"/>
  <c r="R23" i="8"/>
  <c r="S23" i="8" s="1"/>
  <c r="R24" i="8"/>
  <c r="S24" i="8" s="1"/>
  <c r="O21" i="8" l="1"/>
  <c r="O22" i="8"/>
  <c r="R21" i="8"/>
  <c r="S21" i="8" s="1"/>
  <c r="R22" i="8"/>
  <c r="S22" i="8" s="1"/>
  <c r="I21" i="8"/>
  <c r="I22" i="8"/>
  <c r="F22" i="8"/>
  <c r="F21" i="8"/>
  <c r="R19" i="8" l="1"/>
  <c r="S19" i="8" s="1"/>
  <c r="R20" i="8"/>
  <c r="S20" i="8" s="1"/>
  <c r="O19" i="8"/>
  <c r="O20" i="8"/>
  <c r="I19" i="8"/>
  <c r="I20" i="8"/>
  <c r="F19" i="8"/>
  <c r="F20" i="8"/>
  <c r="AV4" i="8" l="1"/>
  <c r="AU4" i="8"/>
  <c r="AE4" i="8"/>
  <c r="AA4" i="8"/>
  <c r="T4" i="8"/>
  <c r="P4" i="8"/>
  <c r="R5" i="8" l="1"/>
  <c r="O5" i="8"/>
  <c r="I5" i="8"/>
  <c r="F5" i="8"/>
  <c r="BC4" i="8"/>
  <c r="BB4" i="8"/>
  <c r="BA4" i="8"/>
  <c r="AZ4" i="8"/>
  <c r="AY4" i="8"/>
  <c r="AX4" i="8"/>
  <c r="AW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D4" i="8"/>
  <c r="AC4" i="8"/>
  <c r="AB4" i="8"/>
  <c r="S5" i="8" l="1"/>
  <c r="R4" i="8"/>
  <c r="AJ3" i="8" l="1"/>
  <c r="Z3" i="8"/>
  <c r="Y3" i="8"/>
  <c r="X3" i="8"/>
  <c r="W3" i="8"/>
  <c r="U3" i="8"/>
  <c r="V3" i="8"/>
  <c r="AV3" i="8"/>
  <c r="AT3" i="8"/>
  <c r="AZ3" i="8"/>
  <c r="AY3" i="8"/>
  <c r="AP3" i="8"/>
  <c r="AK3" i="8"/>
  <c r="AH3" i="8"/>
  <c r="AU3" i="8"/>
  <c r="BC3" i="8"/>
  <c r="AI3" i="8"/>
  <c r="AR3" i="8"/>
  <c r="AQ3" i="8"/>
  <c r="AD3" i="8"/>
  <c r="AC3" i="8"/>
  <c r="AL3" i="8"/>
  <c r="S4" i="8"/>
  <c r="AX3" i="8"/>
  <c r="AB3" i="8"/>
  <c r="AE3" i="8"/>
  <c r="BA3" i="8"/>
  <c r="AG3" i="8"/>
  <c r="AA3" i="8"/>
  <c r="AM3" i="8"/>
  <c r="AO3" i="8"/>
  <c r="AN3" i="8"/>
  <c r="AF3" i="8"/>
  <c r="AW3" i="8"/>
  <c r="BB3" i="8"/>
  <c r="AS3" i="8"/>
</calcChain>
</file>

<file path=xl/sharedStrings.xml><?xml version="1.0" encoding="utf-8"?>
<sst xmlns="http://schemas.openxmlformats.org/spreadsheetml/2006/main" count="123" uniqueCount="63">
  <si>
    <t>出荷前監査報告書</t>
  </si>
  <si>
    <t>UQ検品内容纏め</t>
  </si>
  <si>
    <t>Factory</t>
  </si>
  <si>
    <t>Date of issue</t>
  </si>
  <si>
    <t>Inspection Type</t>
  </si>
  <si>
    <t>Audit Start Time</t>
  </si>
  <si>
    <t>Audit End Time</t>
  </si>
  <si>
    <t>Total Hours</t>
  </si>
  <si>
    <t>Audit Result</t>
  </si>
  <si>
    <t>Style NO.</t>
  </si>
  <si>
    <t>POーNO</t>
  </si>
  <si>
    <t>Country</t>
  </si>
  <si>
    <t>Audit Qty.</t>
  </si>
  <si>
    <t>Acceptable Defect Qty</t>
  </si>
  <si>
    <t>DefectQty.</t>
  </si>
  <si>
    <t>Defect %</t>
  </si>
  <si>
    <t>Person</t>
  </si>
  <si>
    <t>合計</t>
  </si>
  <si>
    <t>Factory In Time</t>
  </si>
  <si>
    <t>Factory Out Time</t>
  </si>
  <si>
    <t>Report Number</t>
  </si>
  <si>
    <t>Item Name</t>
  </si>
  <si>
    <t xml:space="preserve">Nep, slub, fly </t>
  </si>
  <si>
    <t xml:space="preserve">Holes, scratches, tears </t>
  </si>
  <si>
    <t xml:space="preserve">Uneven dyeing, color difference, warp/weft streaks </t>
  </si>
  <si>
    <t xml:space="preserve">Poor texture, surface appearance/feel </t>
  </si>
  <si>
    <t xml:space="preserve">Skew </t>
  </si>
  <si>
    <t xml:space="preserve">Others </t>
  </si>
  <si>
    <t xml:space="preserve">Poor shape, non-symmetrical, dislocation </t>
  </si>
  <si>
    <t xml:space="preserve">Poor joining of patterns, poor prints/embroidery </t>
  </si>
  <si>
    <t xml:space="preserve">Staggered seams, spirality, wrinkles </t>
  </si>
  <si>
    <t>Puckering, gathered stitching</t>
  </si>
  <si>
    <t xml:space="preserve">Broken thread </t>
  </si>
  <si>
    <t xml:space="preserve">Broken material </t>
  </si>
  <si>
    <t xml:space="preserve">Insufficient stretch in seams </t>
  </si>
  <si>
    <t xml:space="preserve">Poor stitch length, poor thread tension </t>
  </si>
  <si>
    <t xml:space="preserve">Insufficient seam allowance, run-off stitches </t>
  </si>
  <si>
    <t xml:space="preserve">Needle marks, restitched seams </t>
  </si>
  <si>
    <t xml:space="preserve">Exposed lining </t>
  </si>
  <si>
    <t xml:space="preserve">Skipped stitches </t>
  </si>
  <si>
    <t xml:space="preserve">Sewn by mistake, puckered seams </t>
  </si>
  <si>
    <t xml:space="preserve">Missing stitches, missing bar tacks </t>
  </si>
  <si>
    <t>Insufficient strength,Pleated</t>
  </si>
  <si>
    <t xml:space="preserve">Poor quality (faded, burred, rusty, dirty) </t>
  </si>
  <si>
    <t xml:space="preserve">Poorly attached trim (deformed, damaged, crooked)                       </t>
  </si>
  <si>
    <t>Missing trim (detached)</t>
  </si>
  <si>
    <t xml:space="preserve">Misplaced/incorrect trim </t>
  </si>
  <si>
    <t xml:space="preserve">Poorly functioning </t>
  </si>
  <si>
    <t xml:space="preserve">Poorly finished thread ends, lint </t>
  </si>
  <si>
    <t xml:space="preserve">Dirty, stains </t>
  </si>
  <si>
    <t xml:space="preserve">Poor shape, non-symmetrical </t>
  </si>
  <si>
    <t xml:space="preserve">Glaze mark, wrinkles </t>
  </si>
  <si>
    <t xml:space="preserve">Poor wash treatment </t>
  </si>
  <si>
    <t xml:space="preserve">Poor measurements </t>
  </si>
  <si>
    <t xml:space="preserve">Poor packaging </t>
  </si>
  <si>
    <t xml:space="preserve">Wrong quantity packed </t>
  </si>
  <si>
    <t>INLINE</t>
  </si>
  <si>
    <t>-</t>
  </si>
  <si>
    <t>A: Material Defects</t>
  </si>
  <si>
    <t>B: Sewing Defects</t>
  </si>
  <si>
    <t>C: Trim Defects</t>
  </si>
  <si>
    <t>D: Finishing Defects</t>
  </si>
  <si>
    <t>E: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</si>
</sst>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/mmm"/>
    <numFmt numFmtId="165" formatCode="[$-409]h:mm\ AM/PM;@"/>
    <numFmt numFmtId="166" formatCode="0;\-00;;@"/>
  </numFmts>
  <fonts count="6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Arial"/>
      <family val="2"/>
    </font>
    <font>
      <u/>
      <sz val="11"/>
      <color indexed="12"/>
      <name val="ＭＳ Ｐゴシック"/>
      <family val="3"/>
      <charset val="128"/>
    </font>
    <font>
      <sz val="9"/>
      <color indexed="8"/>
      <name val="Arial"/>
      <family val="2"/>
    </font>
    <font>
      <sz val="10"/>
      <name val="Arial"/>
      <family val="2"/>
    </font>
    <font>
      <sz val="11"/>
      <color indexed="20"/>
      <name val="??"/>
    </font>
    <font>
      <sz val="10"/>
      <color indexed="62"/>
      <name val="MS UI Gothic"/>
      <family val="3"/>
      <charset val="128"/>
    </font>
    <font>
      <b/>
      <sz val="15"/>
      <color indexed="56"/>
      <name val="??"/>
    </font>
    <font>
      <sz val="11"/>
      <name val="?? ?????"/>
      <family val="3"/>
      <charset val="128"/>
    </font>
    <font>
      <sz val="10"/>
      <color indexed="10"/>
      <name val="MS UI Gothic"/>
      <family val="3"/>
      <charset val="128"/>
    </font>
    <font>
      <sz val="10"/>
      <color indexed="52"/>
      <name val="MS UI Gothic"/>
      <family val="3"/>
      <charset val="128"/>
    </font>
    <font>
      <b/>
      <sz val="15"/>
      <color indexed="56"/>
      <name val="MS UI Gothic"/>
      <family val="3"/>
      <charset val="128"/>
    </font>
    <font>
      <b/>
      <sz val="13"/>
      <color indexed="56"/>
      <name val="MS UI Gothic"/>
      <family val="3"/>
      <charset val="128"/>
    </font>
    <font>
      <b/>
      <sz val="11"/>
      <color indexed="56"/>
      <name val="MS UI Gothic"/>
      <family val="3"/>
      <charset val="128"/>
    </font>
    <font>
      <b/>
      <sz val="18"/>
      <color indexed="56"/>
      <name val="?? ?????"/>
      <family val="3"/>
      <charset val="128"/>
    </font>
    <font>
      <b/>
      <sz val="10"/>
      <color indexed="9"/>
      <name val="MS UI Gothic"/>
      <family val="3"/>
      <charset val="128"/>
    </font>
    <font>
      <sz val="11"/>
      <color indexed="52"/>
      <name val="??"/>
    </font>
    <font>
      <sz val="10"/>
      <color indexed="9"/>
      <name val="MS UI Gothic"/>
      <family val="3"/>
      <charset val="128"/>
    </font>
    <font>
      <sz val="11"/>
      <color indexed="9"/>
      <name val="??"/>
    </font>
    <font>
      <sz val="10"/>
      <color indexed="60"/>
      <name val="MS UI Gothic"/>
      <family val="3"/>
      <charset val="128"/>
    </font>
    <font>
      <sz val="11"/>
      <color indexed="10"/>
      <name val="??"/>
    </font>
    <font>
      <i/>
      <sz val="10"/>
      <color indexed="23"/>
      <name val="MS UI Gothic"/>
      <family val="3"/>
      <charset val="128"/>
    </font>
    <font>
      <sz val="10"/>
      <color indexed="8"/>
      <name val="MS UI Gothic"/>
      <family val="3"/>
      <charset val="128"/>
    </font>
    <font>
      <sz val="11"/>
      <color indexed="8"/>
      <name val="??"/>
    </font>
    <font>
      <sz val="11"/>
      <color indexed="8"/>
      <name val="宋体"/>
    </font>
    <font>
      <sz val="11"/>
      <color indexed="9"/>
      <name val="宋体"/>
    </font>
    <font>
      <sz val="11"/>
      <color indexed="8"/>
      <name val="Calibri"/>
      <family val="2"/>
    </font>
    <font>
      <sz val="11"/>
      <name val="ＭＳ Ｐゴシック"/>
      <charset val="128"/>
    </font>
    <font>
      <sz val="11"/>
      <name val="?? ?????"/>
      <charset val="128"/>
    </font>
    <font>
      <sz val="11"/>
      <color indexed="8"/>
      <name val="Calibri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8"/>
      <color indexed="56"/>
      <name val="ＭＳ Ｐゴシック"/>
      <family val="3"/>
      <charset val="128"/>
    </font>
    <font>
      <b/>
      <sz val="10"/>
      <color indexed="63"/>
      <name val="MS UI Gothic"/>
      <family val="3"/>
      <charset val="128"/>
    </font>
    <font>
      <sz val="11"/>
      <color indexed="17"/>
      <name val="宋体"/>
    </font>
    <font>
      <sz val="11"/>
      <color indexed="20"/>
      <name val="宋体"/>
    </font>
    <font>
      <sz val="10"/>
      <color indexed="20"/>
      <name val="MS UI Gothic"/>
      <family val="3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sz val="10"/>
      <color indexed="17"/>
      <name val="MS UI Gothic"/>
      <family val="3"/>
      <charset val="128"/>
    </font>
    <font>
      <i/>
      <sz val="11"/>
      <color indexed="23"/>
      <name val="宋体"/>
    </font>
    <font>
      <b/>
      <sz val="10"/>
      <color indexed="52"/>
      <name val="MS UI Gothic"/>
      <family val="3"/>
      <charset val="128"/>
    </font>
    <font>
      <sz val="11"/>
      <color indexed="10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0"/>
      <color indexed="8"/>
      <name val="MS UI Gothic"/>
      <family val="3"/>
      <charset val="128"/>
    </font>
    <font>
      <sz val="12"/>
      <name val="Arial"/>
      <family val="2"/>
    </font>
    <font>
      <sz val="12"/>
      <color indexed="8"/>
      <name val="Arial"/>
      <family val="2"/>
    </font>
    <font>
      <sz val="9"/>
      <color theme="1"/>
      <name val="Calibri"/>
      <family val="2"/>
    </font>
    <font>
      <b/>
      <u/>
      <sz val="9"/>
      <name val="Arial"/>
      <family val="2"/>
    </font>
    <font>
      <sz val="12"/>
      <color indexed="9"/>
      <name val="Arial"/>
      <family val="2"/>
    </font>
    <font>
      <sz val="1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97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6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/>
    <xf numFmtId="0" fontId="25" fillId="1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9" fillId="0" borderId="0"/>
    <xf numFmtId="0" fontId="7" fillId="0" borderId="0"/>
    <xf numFmtId="0" fontId="30" fillId="0" borderId="0"/>
    <xf numFmtId="0" fontId="30" fillId="0" borderId="0"/>
    <xf numFmtId="0" fontId="31" fillId="0" borderId="0"/>
    <xf numFmtId="0" fontId="32" fillId="0" borderId="0">
      <alignment vertical="center"/>
    </xf>
    <xf numFmtId="0" fontId="33" fillId="0" borderId="0">
      <alignment vertical="center"/>
    </xf>
    <xf numFmtId="0" fontId="3" fillId="0" borderId="0"/>
    <xf numFmtId="0" fontId="2" fillId="0" borderId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0" fillId="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9" fontId="3" fillId="0" borderId="0" applyFont="0" applyFill="0" applyBorder="0" applyAlignment="0" applyProtection="0"/>
    <xf numFmtId="0" fontId="3" fillId="26" borderId="11" applyNumberFormat="0" applyFon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35" fillId="27" borderId="12" applyNumberForma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8" fillId="9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8" borderId="10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4" fillId="0" borderId="13" applyNumberFormat="0" applyFill="0" applyAlignment="0" applyProtection="0">
      <alignment vertical="center"/>
    </xf>
    <xf numFmtId="0" fontId="3" fillId="26" borderId="11" applyNumberFormat="0" applyFont="0" applyAlignment="0" applyProtection="0">
      <alignment vertical="center"/>
    </xf>
    <xf numFmtId="9" fontId="3" fillId="0" borderId="0" applyFont="0" applyFill="0" applyBorder="0" applyAlignment="0" applyProtection="0"/>
    <xf numFmtId="0" fontId="45" fillId="1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7" borderId="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7" borderId="5" applyNumberFormat="0" applyAlignment="0" applyProtection="0">
      <alignment vertical="center"/>
    </xf>
    <xf numFmtId="0" fontId="50" fillId="7" borderId="5" applyNumberFormat="0" applyAlignment="0" applyProtection="0">
      <alignment vertical="center"/>
    </xf>
    <xf numFmtId="0" fontId="51" fillId="27" borderId="12" applyNumberFormat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/>
  </cellStyleXfs>
  <cellXfs count="51">
    <xf numFmtId="0" fontId="0" fillId="0" borderId="0" xfId="0"/>
    <xf numFmtId="0" fontId="6" fillId="0" borderId="0" xfId="0" applyFont="1" applyAlignment="1">
      <alignment vertical="center"/>
    </xf>
    <xf numFmtId="165" fontId="4" fillId="0" borderId="1" xfId="1" applyNumberFormat="1" applyFont="1" applyBorder="1" applyAlignment="1" applyProtection="1">
      <alignment horizontal="center" vertical="center" wrapText="1"/>
      <protection locked="0" hidden="1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/>
    <xf numFmtId="164" fontId="4" fillId="0" borderId="4" xfId="1" applyNumberFormat="1" applyFont="1" applyBorder="1" applyAlignment="1" applyProtection="1">
      <alignment horizontal="center" vertical="center" wrapText="1"/>
      <protection locked="0" hidden="1"/>
    </xf>
    <xf numFmtId="165" fontId="4" fillId="0" borderId="20" xfId="1" applyNumberFormat="1" applyFont="1" applyBorder="1" applyAlignment="1" applyProtection="1">
      <alignment horizontal="center" vertical="center" wrapText="1"/>
      <protection locked="0" hidden="1"/>
    </xf>
    <xf numFmtId="0" fontId="6" fillId="0" borderId="0" xfId="0" applyFont="1" applyAlignment="1">
      <alignment horizontal="center" vertical="center" wrapText="1"/>
    </xf>
    <xf numFmtId="20" fontId="4" fillId="0" borderId="4" xfId="1" applyNumberFormat="1" applyFont="1" applyBorder="1" applyAlignment="1" applyProtection="1">
      <alignment horizontal="center" vertical="center" wrapText="1"/>
      <protection locked="0" hidden="1"/>
    </xf>
    <xf numFmtId="0" fontId="57" fillId="4" borderId="4" xfId="0" applyFont="1" applyFill="1" applyBorder="1" applyAlignment="1">
      <alignment horizontal="center" vertical="center"/>
    </xf>
    <xf numFmtId="16" fontId="55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59" fillId="5" borderId="18" xfId="1" applyFont="1" applyFill="1" applyBorder="1" applyAlignment="1" applyProtection="1">
      <alignment horizontal="center" vertical="center" wrapText="1"/>
      <protection hidden="1"/>
    </xf>
    <xf numFmtId="166" fontId="59" fillId="5" borderId="18" xfId="1" applyNumberFormat="1" applyFont="1" applyFill="1" applyBorder="1" applyAlignment="1" applyProtection="1">
      <alignment horizontal="center" vertical="center" wrapText="1"/>
      <protection hidden="1"/>
    </xf>
    <xf numFmtId="10" fontId="59" fillId="5" borderId="18" xfId="1" applyNumberFormat="1" applyFont="1" applyFill="1" applyBorder="1" applyAlignment="1" applyProtection="1">
      <alignment horizontal="center" vertical="center" wrapText="1"/>
      <protection hidden="1"/>
    </xf>
    <xf numFmtId="0" fontId="59" fillId="5" borderId="19" xfId="1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wrapText="1"/>
    </xf>
    <xf numFmtId="0" fontId="4" fillId="3" borderId="4" xfId="1" applyFont="1" applyFill="1" applyBorder="1" applyAlignment="1" applyProtection="1">
      <alignment horizontal="center" vertical="center" wrapText="1"/>
      <protection locked="0" hidden="1"/>
    </xf>
    <xf numFmtId="18" fontId="4" fillId="4" borderId="4" xfId="1" applyNumberFormat="1" applyFont="1" applyFill="1" applyBorder="1" applyAlignment="1" applyProtection="1">
      <alignment horizontal="center" vertical="center"/>
      <protection locked="0" hidden="1"/>
    </xf>
    <xf numFmtId="49" fontId="4" fillId="28" borderId="4" xfId="1" applyNumberFormat="1" applyFont="1" applyFill="1" applyBorder="1" applyAlignment="1" applyProtection="1">
      <alignment horizontal="center" vertical="center"/>
      <protection locked="0" hidden="1"/>
    </xf>
    <xf numFmtId="0" fontId="4" fillId="28" borderId="4" xfId="1" applyFont="1" applyFill="1" applyBorder="1" applyAlignment="1" applyProtection="1">
      <alignment horizontal="center" vertical="center"/>
      <protection locked="0" hidden="1"/>
    </xf>
    <xf numFmtId="166" fontId="4" fillId="0" borderId="4" xfId="1" applyNumberFormat="1" applyFont="1" applyBorder="1" applyAlignment="1" applyProtection="1">
      <alignment horizontal="center" vertical="center" wrapText="1"/>
      <protection hidden="1"/>
    </xf>
    <xf numFmtId="10" fontId="4" fillId="0" borderId="4" xfId="1" applyNumberFormat="1" applyFont="1" applyBorder="1" applyAlignment="1" applyProtection="1">
      <alignment horizontal="center" vertical="center" wrapText="1"/>
      <protection hidden="1"/>
    </xf>
    <xf numFmtId="0" fontId="4" fillId="29" borderId="4" xfId="1" applyFont="1" applyFill="1" applyBorder="1" applyAlignment="1" applyProtection="1">
      <alignment horizontal="center" vertical="center" wrapText="1"/>
      <protection hidden="1"/>
    </xf>
    <xf numFmtId="0" fontId="6" fillId="4" borderId="4" xfId="0" applyFont="1" applyFill="1" applyBorder="1" applyAlignment="1">
      <alignment horizontal="center" vertical="center" wrapText="1"/>
    </xf>
    <xf numFmtId="0" fontId="59" fillId="5" borderId="22" xfId="1" applyFont="1" applyFill="1" applyBorder="1" applyAlignment="1" applyProtection="1">
      <alignment vertical="center" wrapText="1" shrinkToFit="1"/>
      <protection hidden="1"/>
    </xf>
    <xf numFmtId="0" fontId="59" fillId="5" borderId="18" xfId="1" applyFont="1" applyFill="1" applyBorder="1" applyAlignment="1" applyProtection="1">
      <alignment vertical="center" wrapText="1" shrinkToFit="1"/>
      <protection hidden="1"/>
    </xf>
    <xf numFmtId="10" fontId="59" fillId="5" borderId="3" xfId="1" applyNumberFormat="1" applyFont="1" applyFill="1" applyBorder="1" applyAlignment="1" applyProtection="1">
      <alignment horizontal="center" vertical="center" wrapText="1"/>
      <protection hidden="1"/>
    </xf>
    <xf numFmtId="0" fontId="55" fillId="2" borderId="22" xfId="1" applyFont="1" applyFill="1" applyBorder="1" applyAlignment="1" applyProtection="1">
      <alignment horizontal="center" textRotation="90" wrapText="1"/>
      <protection hidden="1"/>
    </xf>
    <xf numFmtId="0" fontId="55" fillId="2" borderId="18" xfId="1" applyFont="1" applyFill="1" applyBorder="1" applyAlignment="1" applyProtection="1">
      <alignment horizontal="center" textRotation="90" wrapText="1"/>
      <protection hidden="1"/>
    </xf>
    <xf numFmtId="0" fontId="55" fillId="2" borderId="19" xfId="1" applyFont="1" applyFill="1" applyBorder="1" applyAlignment="1" applyProtection="1">
      <alignment horizontal="center" textRotation="90" wrapText="1"/>
      <protection hidden="1"/>
    </xf>
    <xf numFmtId="0" fontId="56" fillId="2" borderId="18" xfId="0" applyFont="1" applyFill="1" applyBorder="1" applyAlignment="1">
      <alignment horizontal="center" textRotation="90" wrapText="1"/>
    </xf>
    <xf numFmtId="0" fontId="56" fillId="2" borderId="19" xfId="0" applyFont="1" applyFill="1" applyBorder="1" applyAlignment="1">
      <alignment horizontal="center" textRotation="90" wrapText="1"/>
    </xf>
    <xf numFmtId="0" fontId="56" fillId="2" borderId="22" xfId="0" applyFont="1" applyFill="1" applyBorder="1" applyAlignment="1">
      <alignment horizontal="center" textRotation="90" wrapText="1"/>
    </xf>
    <xf numFmtId="16" fontId="55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55" fillId="0" borderId="3" xfId="1" applyFont="1" applyBorder="1" applyAlignment="1" applyProtection="1">
      <alignment horizontal="center" vertical="center" textRotation="90" wrapText="1"/>
      <protection hidden="1"/>
    </xf>
    <xf numFmtId="10" fontId="55" fillId="0" borderId="2" xfId="1" applyNumberFormat="1" applyFont="1" applyBorder="1" applyAlignment="1" applyProtection="1">
      <alignment horizontal="center" vertical="center" textRotation="90" wrapText="1"/>
      <protection hidden="1"/>
    </xf>
    <xf numFmtId="10" fontId="55" fillId="0" borderId="3" xfId="1" applyNumberFormat="1" applyFont="1" applyBorder="1" applyAlignment="1" applyProtection="1">
      <alignment horizontal="center" vertical="center" textRotation="90" wrapText="1"/>
      <protection hidden="1"/>
    </xf>
    <xf numFmtId="10" fontId="55" fillId="29" borderId="15" xfId="1" applyNumberFormat="1" applyFont="1" applyFill="1" applyBorder="1" applyAlignment="1" applyProtection="1">
      <alignment horizontal="center" vertical="center" textRotation="90" wrapText="1"/>
      <protection hidden="1"/>
    </xf>
    <xf numFmtId="10" fontId="55" fillId="29" borderId="3" xfId="1" applyNumberFormat="1" applyFont="1" applyFill="1" applyBorder="1" applyAlignment="1" applyProtection="1">
      <alignment horizontal="center" vertical="center" textRotation="90" wrapText="1"/>
      <protection hidden="1"/>
    </xf>
    <xf numFmtId="0" fontId="55" fillId="3" borderId="3" xfId="1" applyFont="1" applyFill="1" applyBorder="1" applyAlignment="1" applyProtection="1">
      <alignment horizontal="center" vertical="center" textRotation="90" wrapText="1"/>
      <protection hidden="1"/>
    </xf>
    <xf numFmtId="16" fontId="55" fillId="2" borderId="3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4" fillId="0" borderId="14" xfId="1" applyFont="1" applyBorder="1" applyAlignment="1" applyProtection="1">
      <alignment horizontal="center" vertical="center" wrapText="1"/>
      <protection hidden="1"/>
    </xf>
    <xf numFmtId="0" fontId="4" fillId="0" borderId="17" xfId="1" applyFont="1" applyBorder="1" applyAlignment="1" applyProtection="1">
      <alignment horizontal="center" vertical="center" wrapText="1"/>
      <protection hidden="1"/>
    </xf>
    <xf numFmtId="0" fontId="4" fillId="0" borderId="21" xfId="1" applyFont="1" applyBorder="1" applyAlignment="1" applyProtection="1">
      <alignment horizontal="center" vertical="center" wrapText="1"/>
      <protection hidden="1"/>
    </xf>
    <xf numFmtId="49" fontId="60" fillId="0" borderId="14" xfId="196" applyNumberFormat="1" applyFont="1" applyBorder="1" applyAlignment="1" applyProtection="1">
      <alignment horizontal="center" vertical="center" wrapText="1"/>
      <protection locked="0"/>
    </xf>
    <xf numFmtId="49" fontId="60" fillId="0" borderId="17" xfId="196" applyNumberFormat="1" applyFont="1" applyBorder="1" applyAlignment="1" applyProtection="1">
      <alignment horizontal="center" vertical="center" wrapText="1"/>
      <protection locked="0"/>
    </xf>
    <xf numFmtId="49" fontId="60" fillId="0" borderId="21" xfId="196" applyNumberFormat="1" applyFont="1" applyBorder="1" applyAlignment="1" applyProtection="1">
      <alignment horizontal="center" vertical="center" wrapText="1"/>
      <protection locked="0"/>
    </xf>
    <xf numFmtId="10" fontId="58" fillId="0" borderId="0" xfId="2" applyNumberFormat="1" applyFont="1" applyFill="1" applyBorder="1" applyAlignment="1" applyProtection="1">
      <alignment horizontal="center" vertical="center" wrapText="1"/>
      <protection locked="0" hidden="1"/>
    </xf>
  </cellXfs>
  <cellStyles count="197">
    <cellStyle name="?" xfId="3" xr:uid="{00000000-0005-0000-0000-000000000000}"/>
    <cellStyle name="??" xfId="4" xr:uid="{00000000-0005-0000-0000-000001000000}"/>
    <cellStyle name="?? 1" xfId="5" xr:uid="{00000000-0005-0000-0000-000002000000}"/>
    <cellStyle name="?? 10" xfId="6" xr:uid="{00000000-0005-0000-0000-000003000000}"/>
    <cellStyle name="?? 11" xfId="7" xr:uid="{00000000-0005-0000-0000-000004000000}"/>
    <cellStyle name="?? 12" xfId="8" xr:uid="{00000000-0005-0000-0000-000005000000}"/>
    <cellStyle name="?? 12 2" xfId="9" xr:uid="{00000000-0005-0000-0000-000006000000}"/>
    <cellStyle name="?? 2" xfId="10" xr:uid="{00000000-0005-0000-0000-000007000000}"/>
    <cellStyle name="?? 2 2" xfId="11" xr:uid="{00000000-0005-0000-0000-000008000000}"/>
    <cellStyle name="?? 3" xfId="12" xr:uid="{00000000-0005-0000-0000-000009000000}"/>
    <cellStyle name="?? 4" xfId="13" xr:uid="{00000000-0005-0000-0000-00000A000000}"/>
    <cellStyle name="?? 5" xfId="14" xr:uid="{00000000-0005-0000-0000-00000B000000}"/>
    <cellStyle name="?? 6" xfId="15" xr:uid="{00000000-0005-0000-0000-00000C000000}"/>
    <cellStyle name="?? 7" xfId="16" xr:uid="{00000000-0005-0000-0000-00000D000000}"/>
    <cellStyle name="?? 8" xfId="17" xr:uid="{00000000-0005-0000-0000-00000E000000}"/>
    <cellStyle name="?? 9" xfId="18" xr:uid="{00000000-0005-0000-0000-00000F000000}"/>
    <cellStyle name="???" xfId="19" xr:uid="{00000000-0005-0000-0000-000010000000}"/>
    <cellStyle name="??? ??" xfId="20" xr:uid="{00000000-0005-0000-0000-000011000000}"/>
    <cellStyle name="??? 1" xfId="21" xr:uid="{00000000-0005-0000-0000-000012000000}"/>
    <cellStyle name="??? 2" xfId="22" xr:uid="{00000000-0005-0000-0000-000013000000}"/>
    <cellStyle name="??? 3" xfId="23" xr:uid="{00000000-0005-0000-0000-000014000000}"/>
    <cellStyle name="??? 4" xfId="24" xr:uid="{00000000-0005-0000-0000-000015000000}"/>
    <cellStyle name="????" xfId="25" xr:uid="{00000000-0005-0000-0000-000016000000}"/>
    <cellStyle name="???? ??" xfId="26" xr:uid="{00000000-0005-0000-0000-000017000000}"/>
    <cellStyle name="?????" xfId="27" xr:uid="{00000000-0005-0000-0000-000018000000}"/>
    <cellStyle name="????? 1" xfId="28" xr:uid="{00000000-0005-0000-0000-000019000000}"/>
    <cellStyle name="????? 2" xfId="29" xr:uid="{00000000-0005-0000-0000-00001A000000}"/>
    <cellStyle name="????? 3" xfId="30" xr:uid="{00000000-0005-0000-0000-00001B000000}"/>
    <cellStyle name="????? 4" xfId="31" xr:uid="{00000000-0005-0000-0000-00001C000000}"/>
    <cellStyle name="????? 5" xfId="32" xr:uid="{00000000-0005-0000-0000-00001D000000}"/>
    <cellStyle name="????? 6" xfId="33" xr:uid="{00000000-0005-0000-0000-00001E000000}"/>
    <cellStyle name="?????? 1" xfId="34" xr:uid="{00000000-0005-0000-0000-00001F000000}"/>
    <cellStyle name="?????? 2" xfId="35" xr:uid="{00000000-0005-0000-0000-000020000000}"/>
    <cellStyle name="?????? 3" xfId="36" xr:uid="{00000000-0005-0000-0000-000021000000}"/>
    <cellStyle name="?????? 4" xfId="37" xr:uid="{00000000-0005-0000-0000-000022000000}"/>
    <cellStyle name="?????? 5" xfId="38" xr:uid="{00000000-0005-0000-0000-000023000000}"/>
    <cellStyle name="?????? 6" xfId="39" xr:uid="{00000000-0005-0000-0000-000024000000}"/>
    <cellStyle name="???????" xfId="40" xr:uid="{00000000-0005-0000-0000-000025000000}"/>
    <cellStyle name="????_MAXCOM" xfId="41" xr:uid="{00000000-0005-0000-0000-000026000000}"/>
    <cellStyle name="???_TM TEXTILE" xfId="42" xr:uid="{00000000-0005-0000-0000-000027000000}"/>
    <cellStyle name="??_????????????" xfId="43" xr:uid="{00000000-0005-0000-0000-000028000000}"/>
    <cellStyle name="20% - ????? 1" xfId="44" xr:uid="{00000000-0005-0000-0000-000029000000}"/>
    <cellStyle name="20% - ????? 2" xfId="45" xr:uid="{00000000-0005-0000-0000-00002A000000}"/>
    <cellStyle name="20% - ????? 3" xfId="46" xr:uid="{00000000-0005-0000-0000-00002B000000}"/>
    <cellStyle name="20% - ????? 4" xfId="47" xr:uid="{00000000-0005-0000-0000-00002C000000}"/>
    <cellStyle name="20% - ????? 5" xfId="48" xr:uid="{00000000-0005-0000-0000-00002D000000}"/>
    <cellStyle name="20% - ????? 6" xfId="49" xr:uid="{00000000-0005-0000-0000-00002E000000}"/>
    <cellStyle name="20% - ?????? 1" xfId="50" xr:uid="{00000000-0005-0000-0000-00002F000000}"/>
    <cellStyle name="20% - ?????? 2" xfId="51" xr:uid="{00000000-0005-0000-0000-000030000000}"/>
    <cellStyle name="20% - ?????? 3" xfId="52" xr:uid="{00000000-0005-0000-0000-000031000000}"/>
    <cellStyle name="20% - ?????? 4" xfId="53" xr:uid="{00000000-0005-0000-0000-000032000000}"/>
    <cellStyle name="20% - ?????? 5" xfId="54" xr:uid="{00000000-0005-0000-0000-000033000000}"/>
    <cellStyle name="20% - ?????? 6" xfId="55" xr:uid="{00000000-0005-0000-0000-000034000000}"/>
    <cellStyle name="20% - アクセント 1" xfId="56" xr:uid="{00000000-0005-0000-0000-000035000000}"/>
    <cellStyle name="20% - アクセント 2" xfId="57" xr:uid="{00000000-0005-0000-0000-000036000000}"/>
    <cellStyle name="20% - アクセント 3" xfId="58" xr:uid="{00000000-0005-0000-0000-000037000000}"/>
    <cellStyle name="20% - アクセント 4" xfId="59" xr:uid="{00000000-0005-0000-0000-000038000000}"/>
    <cellStyle name="20% - アクセント 5" xfId="60" xr:uid="{00000000-0005-0000-0000-000039000000}"/>
    <cellStyle name="20% - アクセント 6" xfId="61" xr:uid="{00000000-0005-0000-0000-00003A000000}"/>
    <cellStyle name="20% - 强调文字颜色 1" xfId="62" xr:uid="{00000000-0005-0000-0000-00003B000000}"/>
    <cellStyle name="20% - 强调文字颜色 2" xfId="63" xr:uid="{00000000-0005-0000-0000-00003C000000}"/>
    <cellStyle name="20% - 强调文字颜色 3" xfId="64" xr:uid="{00000000-0005-0000-0000-00003D000000}"/>
    <cellStyle name="20% - 强调文字颜色 4" xfId="65" xr:uid="{00000000-0005-0000-0000-00003E000000}"/>
    <cellStyle name="20% - 强调文字颜色 5" xfId="66" xr:uid="{00000000-0005-0000-0000-00003F000000}"/>
    <cellStyle name="20% - 强调文字颜色 6" xfId="67" xr:uid="{00000000-0005-0000-0000-000040000000}"/>
    <cellStyle name="40% - ????? 1" xfId="68" xr:uid="{00000000-0005-0000-0000-000041000000}"/>
    <cellStyle name="40% - ????? 2" xfId="69" xr:uid="{00000000-0005-0000-0000-000042000000}"/>
    <cellStyle name="40% - ????? 3" xfId="70" xr:uid="{00000000-0005-0000-0000-000043000000}"/>
    <cellStyle name="40% - ????? 4" xfId="71" xr:uid="{00000000-0005-0000-0000-000044000000}"/>
    <cellStyle name="40% - ????? 5" xfId="72" xr:uid="{00000000-0005-0000-0000-000045000000}"/>
    <cellStyle name="40% - ????? 6" xfId="73" xr:uid="{00000000-0005-0000-0000-000046000000}"/>
    <cellStyle name="40% - ?????? 1" xfId="74" xr:uid="{00000000-0005-0000-0000-000047000000}"/>
    <cellStyle name="40% - ?????? 2" xfId="75" xr:uid="{00000000-0005-0000-0000-000048000000}"/>
    <cellStyle name="40% - ?????? 3" xfId="76" xr:uid="{00000000-0005-0000-0000-000049000000}"/>
    <cellStyle name="40% - ?????? 4" xfId="77" xr:uid="{00000000-0005-0000-0000-00004A000000}"/>
    <cellStyle name="40% - ?????? 5" xfId="78" xr:uid="{00000000-0005-0000-0000-00004B000000}"/>
    <cellStyle name="40% - ?????? 6" xfId="79" xr:uid="{00000000-0005-0000-0000-00004C000000}"/>
    <cellStyle name="40% - アクセント 1" xfId="80" xr:uid="{00000000-0005-0000-0000-00004D000000}"/>
    <cellStyle name="40% - アクセント 2" xfId="81" xr:uid="{00000000-0005-0000-0000-00004E000000}"/>
    <cellStyle name="40% - アクセント 3" xfId="82" xr:uid="{00000000-0005-0000-0000-00004F000000}"/>
    <cellStyle name="40% - アクセント 4" xfId="83" xr:uid="{00000000-0005-0000-0000-000050000000}"/>
    <cellStyle name="40% - アクセント 5" xfId="84" xr:uid="{00000000-0005-0000-0000-000051000000}"/>
    <cellStyle name="40% - アクセント 6" xfId="85" xr:uid="{00000000-0005-0000-0000-000052000000}"/>
    <cellStyle name="40% - 强调文字颜色 1" xfId="86" xr:uid="{00000000-0005-0000-0000-000053000000}"/>
    <cellStyle name="40% - 强调文字颜色 2" xfId="87" xr:uid="{00000000-0005-0000-0000-000054000000}"/>
    <cellStyle name="40% - 强调文字颜色 3" xfId="88" xr:uid="{00000000-0005-0000-0000-000055000000}"/>
    <cellStyle name="40% - 强调文字颜色 4" xfId="89" xr:uid="{00000000-0005-0000-0000-000056000000}"/>
    <cellStyle name="40% - 强调文字颜色 5" xfId="90" xr:uid="{00000000-0005-0000-0000-000057000000}"/>
    <cellStyle name="40% - 强调文字颜色 6" xfId="91" xr:uid="{00000000-0005-0000-0000-000058000000}"/>
    <cellStyle name="60% - ????? 1" xfId="92" xr:uid="{00000000-0005-0000-0000-000059000000}"/>
    <cellStyle name="60% - ????? 2" xfId="93" xr:uid="{00000000-0005-0000-0000-00005A000000}"/>
    <cellStyle name="60% - ????? 3" xfId="94" xr:uid="{00000000-0005-0000-0000-00005B000000}"/>
    <cellStyle name="60% - ????? 4" xfId="95" xr:uid="{00000000-0005-0000-0000-00005C000000}"/>
    <cellStyle name="60% - ????? 5" xfId="96" xr:uid="{00000000-0005-0000-0000-00005D000000}"/>
    <cellStyle name="60% - ????? 6" xfId="97" xr:uid="{00000000-0005-0000-0000-00005E000000}"/>
    <cellStyle name="60% - ?????? 1" xfId="98" xr:uid="{00000000-0005-0000-0000-00005F000000}"/>
    <cellStyle name="60% - ?????? 2" xfId="99" xr:uid="{00000000-0005-0000-0000-000060000000}"/>
    <cellStyle name="60% - ?????? 3" xfId="100" xr:uid="{00000000-0005-0000-0000-000061000000}"/>
    <cellStyle name="60% - ?????? 4" xfId="101" xr:uid="{00000000-0005-0000-0000-000062000000}"/>
    <cellStyle name="60% - ?????? 5" xfId="102" xr:uid="{00000000-0005-0000-0000-000063000000}"/>
    <cellStyle name="60% - ?????? 6" xfId="103" xr:uid="{00000000-0005-0000-0000-000064000000}"/>
    <cellStyle name="60% - アクセント 1" xfId="104" xr:uid="{00000000-0005-0000-0000-000065000000}"/>
    <cellStyle name="60% - アクセント 2" xfId="105" xr:uid="{00000000-0005-0000-0000-000066000000}"/>
    <cellStyle name="60% - アクセント 3" xfId="106" xr:uid="{00000000-0005-0000-0000-000067000000}"/>
    <cellStyle name="60% - アクセント 4" xfId="107" xr:uid="{00000000-0005-0000-0000-000068000000}"/>
    <cellStyle name="60% - アクセント 5" xfId="108" xr:uid="{00000000-0005-0000-0000-000069000000}"/>
    <cellStyle name="60% - アクセント 6" xfId="109" xr:uid="{00000000-0005-0000-0000-00006A000000}"/>
    <cellStyle name="60% - 强调文字颜色 1" xfId="110" xr:uid="{00000000-0005-0000-0000-00006B000000}"/>
    <cellStyle name="60% - 强调文字颜色 2" xfId="111" xr:uid="{00000000-0005-0000-0000-00006C000000}"/>
    <cellStyle name="60% - 强调文字颜色 3" xfId="112" xr:uid="{00000000-0005-0000-0000-00006D000000}"/>
    <cellStyle name="60% - 强调文字颜色 4" xfId="113" xr:uid="{00000000-0005-0000-0000-00006E000000}"/>
    <cellStyle name="60% - 强调文字颜色 5" xfId="114" xr:uid="{00000000-0005-0000-0000-00006F000000}"/>
    <cellStyle name="60% - 强调文字颜色 6" xfId="115" xr:uid="{00000000-0005-0000-0000-000070000000}"/>
    <cellStyle name="Comma 2" xfId="116" xr:uid="{00000000-0005-0000-0000-000071000000}"/>
    <cellStyle name="Comma 3" xfId="117" xr:uid="{00000000-0005-0000-0000-000072000000}"/>
    <cellStyle name="Comma 3 2" xfId="193" xr:uid="{AE6EC565-46B0-41AF-9E5D-5496DAE43344}"/>
    <cellStyle name="Hyperlink" xfId="2" builtinId="8"/>
    <cellStyle name="Normal" xfId="0" builtinId="0"/>
    <cellStyle name="Normal 2" xfId="118" xr:uid="{00000000-0005-0000-0000-000075000000}"/>
    <cellStyle name="Normal 2 2" xfId="119" xr:uid="{00000000-0005-0000-0000-000076000000}"/>
    <cellStyle name="Normal 3" xfId="120" xr:uid="{00000000-0005-0000-0000-000077000000}"/>
    <cellStyle name="Normal 3 2" xfId="121" xr:uid="{00000000-0005-0000-0000-000078000000}"/>
    <cellStyle name="Normal 3_MAXCOM" xfId="122" xr:uid="{00000000-0005-0000-0000-000079000000}"/>
    <cellStyle name="Normal 4" xfId="123" xr:uid="{00000000-0005-0000-0000-00007A000000}"/>
    <cellStyle name="Normal 4 2" xfId="124" xr:uid="{00000000-0005-0000-0000-00007B000000}"/>
    <cellStyle name="Normal 5" xfId="125" xr:uid="{00000000-0005-0000-0000-00007C000000}"/>
    <cellStyle name="Normal 6" xfId="126" xr:uid="{00000000-0005-0000-0000-00007D000000}"/>
    <cellStyle name="Normal 6 2" xfId="194" xr:uid="{407CBA01-2C49-4EFC-BC87-B0055E9EBBB4}"/>
    <cellStyle name="Percent 2" xfId="127" xr:uid="{00000000-0005-0000-0000-00007E000000}"/>
    <cellStyle name="Percent 3" xfId="128" xr:uid="{00000000-0005-0000-0000-00007F000000}"/>
    <cellStyle name="Percent 4" xfId="129" xr:uid="{00000000-0005-0000-0000-000080000000}"/>
    <cellStyle name="Percent 4 2" xfId="195" xr:uid="{A0D2DF7C-4E4A-4774-A2EB-C8D9D32778FE}"/>
    <cellStyle name="アクセント 1" xfId="130" xr:uid="{00000000-0005-0000-0000-000081000000}"/>
    <cellStyle name="アクセント 2" xfId="131" xr:uid="{00000000-0005-0000-0000-000082000000}"/>
    <cellStyle name="アクセント 3" xfId="132" xr:uid="{00000000-0005-0000-0000-000083000000}"/>
    <cellStyle name="アクセント 4" xfId="133" xr:uid="{00000000-0005-0000-0000-000084000000}"/>
    <cellStyle name="アクセント 5" xfId="134" xr:uid="{00000000-0005-0000-0000-000085000000}"/>
    <cellStyle name="アクセント 6" xfId="135" xr:uid="{00000000-0005-0000-0000-000086000000}"/>
    <cellStyle name="タイトル" xfId="136" xr:uid="{00000000-0005-0000-0000-000087000000}"/>
    <cellStyle name="チェック セル" xfId="137" xr:uid="{00000000-0005-0000-0000-000088000000}"/>
    <cellStyle name="どちらでもない" xfId="138" xr:uid="{00000000-0005-0000-0000-000089000000}"/>
    <cellStyle name="パーセント 2" xfId="139" xr:uid="{00000000-0005-0000-0000-00008A000000}"/>
    <cellStyle name="メモ" xfId="140" xr:uid="{00000000-0005-0000-0000-00008B000000}"/>
    <cellStyle name="リンク セル" xfId="141" xr:uid="{00000000-0005-0000-0000-00008C000000}"/>
    <cellStyle name="入力" xfId="142" xr:uid="{00000000-0005-0000-0000-00008D000000}"/>
    <cellStyle name="出力" xfId="143" xr:uid="{00000000-0005-0000-0000-00008E000000}"/>
    <cellStyle name="好" xfId="144" xr:uid="{00000000-0005-0000-0000-00008F000000}"/>
    <cellStyle name="差" xfId="145" xr:uid="{00000000-0005-0000-0000-000090000000}"/>
    <cellStyle name="常规 2" xfId="146" xr:uid="{00000000-0005-0000-0000-000091000000}"/>
    <cellStyle name="常规_※㈱ユニクロ　朴様採寸表" xfId="147" xr:uid="{00000000-0005-0000-0000-000092000000}"/>
    <cellStyle name="强调文字颜色 1" xfId="148" xr:uid="{00000000-0005-0000-0000-000093000000}"/>
    <cellStyle name="强调文字颜色 2" xfId="149" xr:uid="{00000000-0005-0000-0000-000094000000}"/>
    <cellStyle name="强调文字颜色 3" xfId="150" xr:uid="{00000000-0005-0000-0000-000095000000}"/>
    <cellStyle name="强调文字颜色 4" xfId="151" xr:uid="{00000000-0005-0000-0000-000096000000}"/>
    <cellStyle name="强调文字颜色 5" xfId="152" xr:uid="{00000000-0005-0000-0000-000097000000}"/>
    <cellStyle name="强调文字颜色 6" xfId="153" xr:uid="{00000000-0005-0000-0000-000098000000}"/>
    <cellStyle name="悪い" xfId="154" xr:uid="{00000000-0005-0000-0000-000099000000}"/>
    <cellStyle name="标题" xfId="155" xr:uid="{00000000-0005-0000-0000-00009A000000}"/>
    <cellStyle name="标题 1" xfId="156" xr:uid="{00000000-0005-0000-0000-00009B000000}"/>
    <cellStyle name="标题 2" xfId="157" xr:uid="{00000000-0005-0000-0000-00009C000000}"/>
    <cellStyle name="标题 3" xfId="158" xr:uid="{00000000-0005-0000-0000-00009D000000}"/>
    <cellStyle name="标题 4" xfId="159" xr:uid="{00000000-0005-0000-0000-00009E000000}"/>
    <cellStyle name="检查单元格" xfId="160" xr:uid="{00000000-0005-0000-0000-00009F000000}"/>
    <cellStyle name="標準 10" xfId="161" xr:uid="{00000000-0005-0000-0000-0000A0000000}"/>
    <cellStyle name="標準 11" xfId="162" xr:uid="{00000000-0005-0000-0000-0000A1000000}"/>
    <cellStyle name="標準 12" xfId="163" xr:uid="{00000000-0005-0000-0000-0000A2000000}"/>
    <cellStyle name="標準 12 2" xfId="164" xr:uid="{00000000-0005-0000-0000-0000A3000000}"/>
    <cellStyle name="標準 2" xfId="165" xr:uid="{00000000-0005-0000-0000-0000A4000000}"/>
    <cellStyle name="標準 2 2" xfId="166" xr:uid="{00000000-0005-0000-0000-0000A5000000}"/>
    <cellStyle name="標準 3" xfId="167" xr:uid="{00000000-0005-0000-0000-0000A6000000}"/>
    <cellStyle name="標準 4" xfId="168" xr:uid="{00000000-0005-0000-0000-0000A7000000}"/>
    <cellStyle name="標準 5" xfId="169" xr:uid="{00000000-0005-0000-0000-0000A8000000}"/>
    <cellStyle name="標準 6" xfId="170" xr:uid="{00000000-0005-0000-0000-0000A9000000}"/>
    <cellStyle name="標準 7" xfId="171" xr:uid="{00000000-0005-0000-0000-0000AA000000}"/>
    <cellStyle name="標準 8" xfId="172" xr:uid="{00000000-0005-0000-0000-0000AB000000}"/>
    <cellStyle name="標準 9" xfId="173" xr:uid="{00000000-0005-0000-0000-0000AC000000}"/>
    <cellStyle name="標準_Sheet1" xfId="1" xr:uid="{00000000-0005-0000-0000-0000AD000000}"/>
    <cellStyle name="標準_Sheet1 2" xfId="196" xr:uid="{A3E5D2DE-912C-44C6-B463-2565E36CCC90}"/>
    <cellStyle name="汇总" xfId="174" xr:uid="{00000000-0005-0000-0000-0000AE000000}"/>
    <cellStyle name="注释" xfId="175" xr:uid="{00000000-0005-0000-0000-0000AF000000}"/>
    <cellStyle name="百分比 2" xfId="176" xr:uid="{00000000-0005-0000-0000-0000B0000000}"/>
    <cellStyle name="良い" xfId="177" xr:uid="{00000000-0005-0000-0000-0000B1000000}"/>
    <cellStyle name="見出し 1" xfId="178" xr:uid="{00000000-0005-0000-0000-0000B2000000}"/>
    <cellStyle name="見出し 2" xfId="179" xr:uid="{00000000-0005-0000-0000-0000B3000000}"/>
    <cellStyle name="見出し 3" xfId="180" xr:uid="{00000000-0005-0000-0000-0000B4000000}"/>
    <cellStyle name="見出し 4" xfId="181" xr:uid="{00000000-0005-0000-0000-0000B5000000}"/>
    <cellStyle name="解释性文本" xfId="182" xr:uid="{00000000-0005-0000-0000-0000B6000000}"/>
    <cellStyle name="計算" xfId="183" xr:uid="{00000000-0005-0000-0000-0000B7000000}"/>
    <cellStyle name="説明文" xfId="184" xr:uid="{00000000-0005-0000-0000-0000B8000000}"/>
    <cellStyle name="警告文" xfId="185" xr:uid="{00000000-0005-0000-0000-0000B9000000}"/>
    <cellStyle name="警告文本" xfId="186" xr:uid="{00000000-0005-0000-0000-0000BA000000}"/>
    <cellStyle name="计算" xfId="187" xr:uid="{00000000-0005-0000-0000-0000BB000000}"/>
    <cellStyle name="输入" xfId="188" xr:uid="{00000000-0005-0000-0000-0000BC000000}"/>
    <cellStyle name="输出" xfId="189" xr:uid="{00000000-0005-0000-0000-0000BD000000}"/>
    <cellStyle name="适中" xfId="190" xr:uid="{00000000-0005-0000-0000-0000BE000000}"/>
    <cellStyle name="链接单元格" xfId="191" xr:uid="{00000000-0005-0000-0000-0000BF000000}"/>
    <cellStyle name="集計" xfId="192" xr:uid="{00000000-0005-0000-0000-0000C0000000}"/>
  </cellStyles>
  <dxfs count="0"/>
  <tableStyles count="0" defaultTableStyle="TableStyleMedium2" defaultPivotStyle="PivotStyleLight16"/>
  <colors>
    <mruColors>
      <color rgb="FFCCFFCC"/>
      <color rgb="FFA50021"/>
      <color rgb="FF9933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0CDA-A2AD-48DD-86B9-B62DCAF641A0}">
  <sheetPr>
    <tabColor rgb="FF00B050"/>
    <pageSetUpPr fitToPage="1"/>
  </sheetPr>
  <dimension ref="A1:DQ32"/>
  <sheetViews>
    <sheetView tabSelected="1" view="pageBreakPreview" zoomScale="70" zoomScaleNormal="55" zoomScaleSheetLayoutView="70" workbookViewId="0">
      <pane ySplit="3" topLeftCell="A4" activePane="bottomLeft" state="frozen"/>
      <selection activeCell="L15" sqref="L15"/>
      <selection pane="bottomLeft" activeCell="K13" sqref="K13"/>
    </sheetView>
  </sheetViews>
  <sheetFormatPr defaultColWidth="9.140625" defaultRowHeight="12"/>
  <cols>
    <col min="1" max="1" width="16.85546875" style="5" customWidth="1"/>
    <col min="2" max="2" width="8.7109375" style="5" bestFit="1" customWidth="1"/>
    <col min="3" max="3" width="15.28515625" style="5" customWidth="1"/>
    <col min="4" max="5" width="13.85546875" style="5" customWidth="1"/>
    <col min="6" max="6" width="9" style="5" customWidth="1"/>
    <col min="7" max="8" width="13.85546875" style="5" customWidth="1"/>
    <col min="9" max="9" width="9" style="5" customWidth="1"/>
    <col min="10" max="10" width="8" style="5" customWidth="1"/>
    <col min="11" max="11" width="22.42578125" style="5" bestFit="1" customWidth="1"/>
    <col min="12" max="12" width="37.140625" style="5" bestFit="1" customWidth="1"/>
    <col min="13" max="13" width="21.7109375" style="5" customWidth="1"/>
    <col min="14" max="14" width="23.5703125" style="5" customWidth="1"/>
    <col min="15" max="15" width="11.140625" style="5" customWidth="1"/>
    <col min="16" max="16" width="6.140625" style="5" customWidth="1"/>
    <col min="17" max="17" width="6" style="5" customWidth="1"/>
    <col min="18" max="18" width="8.42578125" style="9" customWidth="1"/>
    <col min="19" max="19" width="10.28515625" style="5" customWidth="1"/>
    <col min="20" max="20" width="6.28515625" style="5" customWidth="1"/>
    <col min="21" max="53" width="8.7109375" style="5" customWidth="1"/>
    <col min="54" max="55" width="8.7109375" style="6" customWidth="1"/>
    <col min="56" max="16384" width="9.140625" style="6"/>
  </cols>
  <sheetData>
    <row r="1" spans="1:121" s="1" customFormat="1" ht="24" customHeight="1" thickBo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6"/>
      <c r="S1" s="50" t="s">
        <v>1</v>
      </c>
      <c r="T1" s="50"/>
      <c r="U1" s="47" t="s">
        <v>58</v>
      </c>
      <c r="V1" s="48"/>
      <c r="W1" s="48"/>
      <c r="X1" s="48"/>
      <c r="Y1" s="48"/>
      <c r="Z1" s="49"/>
      <c r="AA1" s="47" t="s">
        <v>59</v>
      </c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9"/>
      <c r="AP1" s="47" t="s">
        <v>60</v>
      </c>
      <c r="AQ1" s="48"/>
      <c r="AR1" s="48"/>
      <c r="AS1" s="48"/>
      <c r="AT1" s="49"/>
      <c r="AU1" s="47" t="s">
        <v>61</v>
      </c>
      <c r="AV1" s="48"/>
      <c r="AW1" s="48"/>
      <c r="AX1" s="48"/>
      <c r="AY1" s="48"/>
      <c r="AZ1" s="49"/>
      <c r="BA1" s="47" t="s">
        <v>62</v>
      </c>
      <c r="BB1" s="48"/>
      <c r="BC1" s="49"/>
    </row>
    <row r="2" spans="1:121" s="1" customFormat="1" ht="140.44999999999999" customHeight="1" thickBot="1">
      <c r="A2" s="36" t="s">
        <v>2</v>
      </c>
      <c r="B2" s="36" t="s">
        <v>3</v>
      </c>
      <c r="C2" s="36" t="s">
        <v>4</v>
      </c>
      <c r="D2" s="36" t="s">
        <v>18</v>
      </c>
      <c r="E2" s="36" t="s">
        <v>19</v>
      </c>
      <c r="F2" s="12" t="s">
        <v>7</v>
      </c>
      <c r="G2" s="36" t="s">
        <v>5</v>
      </c>
      <c r="H2" s="36" t="s">
        <v>6</v>
      </c>
      <c r="I2" s="12" t="s">
        <v>7</v>
      </c>
      <c r="J2" s="43" t="s">
        <v>8</v>
      </c>
      <c r="K2" s="36" t="s">
        <v>20</v>
      </c>
      <c r="L2" s="12" t="s">
        <v>21</v>
      </c>
      <c r="M2" s="36" t="s">
        <v>9</v>
      </c>
      <c r="N2" s="12" t="s">
        <v>10</v>
      </c>
      <c r="O2" s="36" t="s">
        <v>11</v>
      </c>
      <c r="P2" s="36" t="s">
        <v>12</v>
      </c>
      <c r="Q2" s="42" t="s">
        <v>13</v>
      </c>
      <c r="R2" s="37" t="s">
        <v>14</v>
      </c>
      <c r="S2" s="38" t="s">
        <v>15</v>
      </c>
      <c r="T2" s="40" t="s">
        <v>16</v>
      </c>
      <c r="U2" s="30" t="s">
        <v>22</v>
      </c>
      <c r="V2" s="31" t="s">
        <v>23</v>
      </c>
      <c r="W2" s="31" t="s">
        <v>24</v>
      </c>
      <c r="X2" s="31" t="s">
        <v>25</v>
      </c>
      <c r="Y2" s="31" t="s">
        <v>26</v>
      </c>
      <c r="Z2" s="32" t="s">
        <v>27</v>
      </c>
      <c r="AA2" s="30" t="s">
        <v>28</v>
      </c>
      <c r="AB2" s="31" t="s">
        <v>29</v>
      </c>
      <c r="AC2" s="31" t="s">
        <v>30</v>
      </c>
      <c r="AD2" s="31" t="s">
        <v>31</v>
      </c>
      <c r="AE2" s="31" t="s">
        <v>32</v>
      </c>
      <c r="AF2" s="31" t="s">
        <v>33</v>
      </c>
      <c r="AG2" s="31" t="s">
        <v>34</v>
      </c>
      <c r="AH2" s="31" t="s">
        <v>35</v>
      </c>
      <c r="AI2" s="31" t="s">
        <v>36</v>
      </c>
      <c r="AJ2" s="31" t="s">
        <v>37</v>
      </c>
      <c r="AK2" s="31" t="s">
        <v>38</v>
      </c>
      <c r="AL2" s="31" t="s">
        <v>39</v>
      </c>
      <c r="AM2" s="31" t="s">
        <v>40</v>
      </c>
      <c r="AN2" s="31" t="s">
        <v>41</v>
      </c>
      <c r="AO2" s="32" t="s">
        <v>42</v>
      </c>
      <c r="AP2" s="30" t="s">
        <v>43</v>
      </c>
      <c r="AQ2" s="31" t="s">
        <v>44</v>
      </c>
      <c r="AR2" s="31" t="s">
        <v>45</v>
      </c>
      <c r="AS2" s="31" t="s">
        <v>46</v>
      </c>
      <c r="AT2" s="32" t="s">
        <v>47</v>
      </c>
      <c r="AU2" s="30" t="s">
        <v>48</v>
      </c>
      <c r="AV2" s="31" t="s">
        <v>49</v>
      </c>
      <c r="AW2" s="33" t="s">
        <v>50</v>
      </c>
      <c r="AX2" s="33" t="s">
        <v>51</v>
      </c>
      <c r="AY2" s="33" t="s">
        <v>52</v>
      </c>
      <c r="AZ2" s="34" t="s">
        <v>53</v>
      </c>
      <c r="BA2" s="35" t="s">
        <v>54</v>
      </c>
      <c r="BB2" s="33" t="s">
        <v>55</v>
      </c>
      <c r="BC2" s="34" t="s">
        <v>27</v>
      </c>
    </row>
    <row r="3" spans="1:121" s="1" customFormat="1" ht="21" hidden="1" customHeight="1" thickBot="1">
      <c r="A3" s="36"/>
      <c r="B3" s="36"/>
      <c r="C3" s="36"/>
      <c r="D3" s="36"/>
      <c r="E3" s="36"/>
      <c r="F3" s="12"/>
      <c r="G3" s="36"/>
      <c r="H3" s="36"/>
      <c r="I3" s="12"/>
      <c r="J3" s="43"/>
      <c r="K3" s="36"/>
      <c r="L3" s="12"/>
      <c r="M3" s="36"/>
      <c r="N3" s="12"/>
      <c r="O3" s="36"/>
      <c r="P3" s="36"/>
      <c r="Q3" s="42"/>
      <c r="R3" s="37"/>
      <c r="S3" s="39"/>
      <c r="T3" s="41"/>
      <c r="U3" s="29" t="e">
        <f>U4/$R$4</f>
        <v>#DIV/0!</v>
      </c>
      <c r="V3" s="29" t="e">
        <f t="shared" ref="V3:BC3" si="0">V4/$R$4</f>
        <v>#DIV/0!</v>
      </c>
      <c r="W3" s="29" t="e">
        <f t="shared" si="0"/>
        <v>#DIV/0!</v>
      </c>
      <c r="X3" s="29" t="e">
        <f t="shared" si="0"/>
        <v>#DIV/0!</v>
      </c>
      <c r="Y3" s="29" t="e">
        <f t="shared" si="0"/>
        <v>#DIV/0!</v>
      </c>
      <c r="Z3" s="29" t="e">
        <f t="shared" si="0"/>
        <v>#DIV/0!</v>
      </c>
      <c r="AA3" s="29" t="e">
        <f t="shared" si="0"/>
        <v>#DIV/0!</v>
      </c>
      <c r="AB3" s="29" t="e">
        <f t="shared" si="0"/>
        <v>#DIV/0!</v>
      </c>
      <c r="AC3" s="29" t="e">
        <f t="shared" si="0"/>
        <v>#DIV/0!</v>
      </c>
      <c r="AD3" s="29" t="e">
        <f t="shared" si="0"/>
        <v>#DIV/0!</v>
      </c>
      <c r="AE3" s="29" t="e">
        <f>AE4/$R$4</f>
        <v>#DIV/0!</v>
      </c>
      <c r="AF3" s="29" t="e">
        <f t="shared" si="0"/>
        <v>#DIV/0!</v>
      </c>
      <c r="AG3" s="29" t="e">
        <f t="shared" si="0"/>
        <v>#DIV/0!</v>
      </c>
      <c r="AH3" s="29" t="e">
        <f t="shared" si="0"/>
        <v>#DIV/0!</v>
      </c>
      <c r="AI3" s="29" t="e">
        <f t="shared" si="0"/>
        <v>#DIV/0!</v>
      </c>
      <c r="AJ3" s="29" t="e">
        <f t="shared" si="0"/>
        <v>#DIV/0!</v>
      </c>
      <c r="AK3" s="29" t="e">
        <f t="shared" si="0"/>
        <v>#DIV/0!</v>
      </c>
      <c r="AL3" s="29" t="e">
        <f t="shared" si="0"/>
        <v>#DIV/0!</v>
      </c>
      <c r="AM3" s="29" t="e">
        <f t="shared" si="0"/>
        <v>#DIV/0!</v>
      </c>
      <c r="AN3" s="29" t="e">
        <f t="shared" si="0"/>
        <v>#DIV/0!</v>
      </c>
      <c r="AO3" s="29" t="e">
        <f t="shared" si="0"/>
        <v>#DIV/0!</v>
      </c>
      <c r="AP3" s="29" t="e">
        <f t="shared" si="0"/>
        <v>#DIV/0!</v>
      </c>
      <c r="AQ3" s="29" t="e">
        <f t="shared" si="0"/>
        <v>#DIV/0!</v>
      </c>
      <c r="AR3" s="29" t="e">
        <f t="shared" si="0"/>
        <v>#DIV/0!</v>
      </c>
      <c r="AS3" s="29" t="e">
        <f t="shared" si="0"/>
        <v>#DIV/0!</v>
      </c>
      <c r="AT3" s="29" t="e">
        <f t="shared" si="0"/>
        <v>#DIV/0!</v>
      </c>
      <c r="AU3" s="29" t="e">
        <f t="shared" si="0"/>
        <v>#DIV/0!</v>
      </c>
      <c r="AV3" s="29" t="e">
        <f t="shared" si="0"/>
        <v>#DIV/0!</v>
      </c>
      <c r="AW3" s="29" t="e">
        <f t="shared" si="0"/>
        <v>#DIV/0!</v>
      </c>
      <c r="AX3" s="29" t="e">
        <f t="shared" si="0"/>
        <v>#DIV/0!</v>
      </c>
      <c r="AY3" s="29" t="e">
        <f t="shared" si="0"/>
        <v>#DIV/0!</v>
      </c>
      <c r="AZ3" s="29" t="e">
        <f t="shared" si="0"/>
        <v>#DIV/0!</v>
      </c>
      <c r="BA3" s="29" t="e">
        <f t="shared" si="0"/>
        <v>#DIV/0!</v>
      </c>
      <c r="BB3" s="29" t="e">
        <f t="shared" si="0"/>
        <v>#DIV/0!</v>
      </c>
      <c r="BC3" s="29" t="e">
        <f t="shared" si="0"/>
        <v>#DIV/0!</v>
      </c>
    </row>
    <row r="4" spans="1:121" s="1" customFormat="1" ht="22.5" customHeight="1" thickBot="1">
      <c r="A4" s="27" t="s">
        <v>17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13">
        <f>SUM(P5:P24)</f>
        <v>0</v>
      </c>
      <c r="Q4" s="13"/>
      <c r="R4" s="14">
        <f>SUM(R5:R24)</f>
        <v>0</v>
      </c>
      <c r="S4" s="15" t="e">
        <f>R4/P4</f>
        <v>#DIV/0!</v>
      </c>
      <c r="T4" s="13">
        <f t="shared" ref="T4:BC4" si="1">SUM(T5:T24)</f>
        <v>0</v>
      </c>
      <c r="U4" s="13">
        <f t="shared" si="1"/>
        <v>0</v>
      </c>
      <c r="V4" s="13">
        <f t="shared" si="1"/>
        <v>0</v>
      </c>
      <c r="W4" s="13">
        <f t="shared" si="1"/>
        <v>0</v>
      </c>
      <c r="X4" s="13">
        <f t="shared" si="1"/>
        <v>0</v>
      </c>
      <c r="Y4" s="13">
        <f t="shared" si="1"/>
        <v>0</v>
      </c>
      <c r="Z4" s="13">
        <f t="shared" si="1"/>
        <v>0</v>
      </c>
      <c r="AA4" s="13">
        <f t="shared" si="1"/>
        <v>0</v>
      </c>
      <c r="AB4" s="13">
        <f t="shared" si="1"/>
        <v>0</v>
      </c>
      <c r="AC4" s="13">
        <f t="shared" si="1"/>
        <v>0</v>
      </c>
      <c r="AD4" s="13">
        <f t="shared" si="1"/>
        <v>0</v>
      </c>
      <c r="AE4" s="13">
        <f t="shared" si="1"/>
        <v>0</v>
      </c>
      <c r="AF4" s="13">
        <f t="shared" si="1"/>
        <v>0</v>
      </c>
      <c r="AG4" s="13">
        <f t="shared" si="1"/>
        <v>0</v>
      </c>
      <c r="AH4" s="13">
        <f t="shared" si="1"/>
        <v>0</v>
      </c>
      <c r="AI4" s="13">
        <f t="shared" si="1"/>
        <v>0</v>
      </c>
      <c r="AJ4" s="13">
        <f t="shared" si="1"/>
        <v>0</v>
      </c>
      <c r="AK4" s="13">
        <f t="shared" si="1"/>
        <v>0</v>
      </c>
      <c r="AL4" s="13">
        <f t="shared" si="1"/>
        <v>0</v>
      </c>
      <c r="AM4" s="13">
        <f t="shared" si="1"/>
        <v>0</v>
      </c>
      <c r="AN4" s="13">
        <f t="shared" si="1"/>
        <v>0</v>
      </c>
      <c r="AO4" s="13">
        <f t="shared" si="1"/>
        <v>0</v>
      </c>
      <c r="AP4" s="13">
        <f t="shared" si="1"/>
        <v>0</v>
      </c>
      <c r="AQ4" s="13">
        <f t="shared" si="1"/>
        <v>0</v>
      </c>
      <c r="AR4" s="13">
        <f t="shared" si="1"/>
        <v>0</v>
      </c>
      <c r="AS4" s="13">
        <f t="shared" si="1"/>
        <v>0</v>
      </c>
      <c r="AT4" s="13">
        <f t="shared" si="1"/>
        <v>0</v>
      </c>
      <c r="AU4" s="13">
        <f t="shared" si="1"/>
        <v>0</v>
      </c>
      <c r="AV4" s="13">
        <f t="shared" si="1"/>
        <v>0</v>
      </c>
      <c r="AW4" s="13">
        <f t="shared" si="1"/>
        <v>0</v>
      </c>
      <c r="AX4" s="13">
        <f t="shared" si="1"/>
        <v>0</v>
      </c>
      <c r="AY4" s="13">
        <f t="shared" si="1"/>
        <v>0</v>
      </c>
      <c r="AZ4" s="13">
        <f t="shared" si="1"/>
        <v>0</v>
      </c>
      <c r="BA4" s="13">
        <f t="shared" si="1"/>
        <v>0</v>
      </c>
      <c r="BB4" s="13">
        <f t="shared" si="1"/>
        <v>0</v>
      </c>
      <c r="BC4" s="16">
        <f t="shared" si="1"/>
        <v>0</v>
      </c>
    </row>
    <row r="5" spans="1:121" s="4" customFormat="1" ht="23.25" customHeight="1">
      <c r="A5" s="7"/>
      <c r="B5" s="7"/>
      <c r="C5" s="7" t="s">
        <v>56</v>
      </c>
      <c r="D5" s="8"/>
      <c r="E5" s="2"/>
      <c r="F5" s="10">
        <f>IF(E5&gt;=D5,E5-D5,E5-D5+1)</f>
        <v>0</v>
      </c>
      <c r="G5" s="8"/>
      <c r="H5" s="2"/>
      <c r="I5" s="10">
        <f>IF(H5&gt;=G5,H5-G5,H5-G5+1)</f>
        <v>0</v>
      </c>
      <c r="J5" s="19" t="s">
        <v>57</v>
      </c>
      <c r="K5" s="20"/>
      <c r="L5" s="20"/>
      <c r="M5" s="21"/>
      <c r="N5" s="20"/>
      <c r="O5" s="11">
        <f>IF(LEFT(M5,2)="01","JAPAN",IF(LEFT(M5,2)="03","CHINA",IF(LEFT(M5,2)="07","EUROPE",IF(LEFT(M5,2)="14","AU",IF(LEFT(M5,2)="17","CANADA",IF(LEFT(M5,2)="36","INDIA",IF(LEFT(M5,2)="04","USA",IF(LEFT(M5,2)="27","MALAYSIA",IF(LEFT(M5,2)="05","KOREA",IF(LEFT(M5,2)="11","THAILAND",IF(LEFT(M5,2)="10","TAIWAN",)))))))))))</f>
        <v>0</v>
      </c>
      <c r="P5" s="22"/>
      <c r="Q5" s="19" t="s">
        <v>57</v>
      </c>
      <c r="R5" s="23">
        <f>SUM(U5:BC5)</f>
        <v>0</v>
      </c>
      <c r="S5" s="24" t="e">
        <f t="shared" ref="S5:S18" si="2">R5/P5</f>
        <v>#DIV/0!</v>
      </c>
      <c r="T5" s="25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</row>
    <row r="6" spans="1:121" s="4" customFormat="1" ht="23.25" customHeight="1">
      <c r="A6" s="7"/>
      <c r="B6" s="7"/>
      <c r="C6" s="7" t="s">
        <v>56</v>
      </c>
      <c r="D6" s="8"/>
      <c r="E6" s="2"/>
      <c r="F6" s="10">
        <f t="shared" ref="F6:F18" si="3">IF(E6&gt;=D6,E6-D6,E6-D6+1)</f>
        <v>0</v>
      </c>
      <c r="G6" s="8"/>
      <c r="H6" s="2"/>
      <c r="I6" s="10">
        <f t="shared" ref="I6:I18" si="4">IF(H6&gt;=G6,H6-G6,H6-G6+1)</f>
        <v>0</v>
      </c>
      <c r="J6" s="19" t="s">
        <v>57</v>
      </c>
      <c r="K6" s="20"/>
      <c r="L6" s="20"/>
      <c r="M6" s="21"/>
      <c r="N6" s="20"/>
      <c r="O6" s="11">
        <f t="shared" ref="O6:O18" si="5">IF(LEFT(M6,2)="01","JAPAN",IF(LEFT(M6,2)="03","CHINA",IF(LEFT(M6,2)="07","EUROPE",IF(LEFT(M6,2)="14","AU",IF(LEFT(M6,2)="17","CANADA",IF(LEFT(M6,2)="36","INDIA",IF(LEFT(M6,2)="04","USA",IF(LEFT(M6,2)="27","MALAYSIA",IF(LEFT(M6,2)="05","KOREA",IF(LEFT(M6,2)="11","THAILAND",IF(LEFT(M6,2)="10","TAIWAN",)))))))))))</f>
        <v>0</v>
      </c>
      <c r="P6" s="22"/>
      <c r="Q6" s="19" t="s">
        <v>57</v>
      </c>
      <c r="R6" s="23">
        <f t="shared" ref="R6:R18" si="6">SUM(U6:BC6)</f>
        <v>0</v>
      </c>
      <c r="S6" s="24" t="e">
        <f t="shared" si="2"/>
        <v>#DIV/0!</v>
      </c>
      <c r="T6" s="25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</row>
    <row r="7" spans="1:121" s="4" customFormat="1" ht="23.25" customHeight="1">
      <c r="A7" s="7"/>
      <c r="B7" s="7"/>
      <c r="C7" s="7" t="s">
        <v>56</v>
      </c>
      <c r="D7" s="8"/>
      <c r="E7" s="2"/>
      <c r="F7" s="10">
        <f t="shared" si="3"/>
        <v>0</v>
      </c>
      <c r="G7" s="8"/>
      <c r="H7" s="2"/>
      <c r="I7" s="10">
        <f t="shared" si="4"/>
        <v>0</v>
      </c>
      <c r="J7" s="19" t="s">
        <v>57</v>
      </c>
      <c r="K7" s="20"/>
      <c r="L7" s="20"/>
      <c r="M7" s="21"/>
      <c r="N7" s="20"/>
      <c r="O7" s="11">
        <f t="shared" si="5"/>
        <v>0</v>
      </c>
      <c r="P7" s="22"/>
      <c r="Q7" s="19" t="s">
        <v>57</v>
      </c>
      <c r="R7" s="23">
        <f t="shared" si="6"/>
        <v>0</v>
      </c>
      <c r="S7" s="24" t="e">
        <f t="shared" si="2"/>
        <v>#DIV/0!</v>
      </c>
      <c r="T7" s="25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</row>
    <row r="8" spans="1:121" s="4" customFormat="1" ht="23.25" customHeight="1">
      <c r="A8" s="7"/>
      <c r="B8" s="7"/>
      <c r="C8" s="7" t="s">
        <v>56</v>
      </c>
      <c r="D8" s="8"/>
      <c r="E8" s="2"/>
      <c r="F8" s="10">
        <f t="shared" si="3"/>
        <v>0</v>
      </c>
      <c r="G8" s="8"/>
      <c r="H8" s="2"/>
      <c r="I8" s="10">
        <f t="shared" si="4"/>
        <v>0</v>
      </c>
      <c r="J8" s="19" t="s">
        <v>57</v>
      </c>
      <c r="K8" s="20"/>
      <c r="L8" s="20"/>
      <c r="M8" s="21"/>
      <c r="N8" s="20"/>
      <c r="O8" s="11">
        <f t="shared" si="5"/>
        <v>0</v>
      </c>
      <c r="P8" s="22"/>
      <c r="Q8" s="19" t="s">
        <v>57</v>
      </c>
      <c r="R8" s="23">
        <f t="shared" si="6"/>
        <v>0</v>
      </c>
      <c r="S8" s="24" t="e">
        <f t="shared" si="2"/>
        <v>#DIV/0!</v>
      </c>
      <c r="T8" s="25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</row>
    <row r="9" spans="1:121" s="4" customFormat="1" ht="23.25" customHeight="1">
      <c r="A9" s="7"/>
      <c r="B9" s="7"/>
      <c r="C9" s="7" t="s">
        <v>56</v>
      </c>
      <c r="D9" s="8"/>
      <c r="E9" s="2"/>
      <c r="F9" s="10">
        <f t="shared" si="3"/>
        <v>0</v>
      </c>
      <c r="G9" s="8"/>
      <c r="H9" s="2"/>
      <c r="I9" s="10">
        <f t="shared" si="4"/>
        <v>0</v>
      </c>
      <c r="J9" s="19" t="s">
        <v>57</v>
      </c>
      <c r="K9" s="20"/>
      <c r="L9" s="20"/>
      <c r="M9" s="21"/>
      <c r="N9" s="20"/>
      <c r="O9" s="11">
        <f t="shared" si="5"/>
        <v>0</v>
      </c>
      <c r="P9" s="22"/>
      <c r="Q9" s="19" t="s">
        <v>57</v>
      </c>
      <c r="R9" s="23">
        <f t="shared" si="6"/>
        <v>0</v>
      </c>
      <c r="S9" s="24" t="e">
        <f t="shared" si="2"/>
        <v>#DIV/0!</v>
      </c>
      <c r="T9" s="25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</row>
    <row r="10" spans="1:121" s="4" customFormat="1" ht="23.25" customHeight="1">
      <c r="A10" s="7"/>
      <c r="B10" s="7"/>
      <c r="C10" s="7" t="s">
        <v>56</v>
      </c>
      <c r="D10" s="8"/>
      <c r="E10" s="2"/>
      <c r="F10" s="10">
        <f t="shared" si="3"/>
        <v>0</v>
      </c>
      <c r="G10" s="8"/>
      <c r="H10" s="2"/>
      <c r="I10" s="10">
        <f t="shared" si="4"/>
        <v>0</v>
      </c>
      <c r="J10" s="19" t="s">
        <v>57</v>
      </c>
      <c r="K10" s="20"/>
      <c r="L10" s="20"/>
      <c r="M10" s="21"/>
      <c r="N10" s="20"/>
      <c r="O10" s="11">
        <f t="shared" si="5"/>
        <v>0</v>
      </c>
      <c r="P10" s="22"/>
      <c r="Q10" s="19" t="s">
        <v>57</v>
      </c>
      <c r="R10" s="23">
        <f t="shared" si="6"/>
        <v>0</v>
      </c>
      <c r="S10" s="24" t="e">
        <f t="shared" si="2"/>
        <v>#DIV/0!</v>
      </c>
      <c r="T10" s="25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</row>
    <row r="11" spans="1:121" s="4" customFormat="1" ht="23.25" customHeight="1">
      <c r="A11" s="7"/>
      <c r="B11" s="7"/>
      <c r="C11" s="7" t="s">
        <v>56</v>
      </c>
      <c r="D11" s="8"/>
      <c r="E11" s="2"/>
      <c r="F11" s="10">
        <f t="shared" si="3"/>
        <v>0</v>
      </c>
      <c r="G11" s="8"/>
      <c r="H11" s="2"/>
      <c r="I11" s="10">
        <f t="shared" si="4"/>
        <v>0</v>
      </c>
      <c r="J11" s="19" t="s">
        <v>57</v>
      </c>
      <c r="K11" s="20"/>
      <c r="L11" s="20"/>
      <c r="M11" s="21"/>
      <c r="N11" s="20"/>
      <c r="O11" s="11">
        <f t="shared" si="5"/>
        <v>0</v>
      </c>
      <c r="P11" s="22"/>
      <c r="Q11" s="19" t="s">
        <v>57</v>
      </c>
      <c r="R11" s="23">
        <f t="shared" si="6"/>
        <v>0</v>
      </c>
      <c r="S11" s="24" t="e">
        <f t="shared" si="2"/>
        <v>#DIV/0!</v>
      </c>
      <c r="T11" s="25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</row>
    <row r="12" spans="1:121" s="4" customFormat="1" ht="23.25" customHeight="1">
      <c r="A12" s="7"/>
      <c r="B12" s="7"/>
      <c r="C12" s="7" t="s">
        <v>56</v>
      </c>
      <c r="D12" s="8"/>
      <c r="E12" s="2"/>
      <c r="F12" s="10">
        <f t="shared" si="3"/>
        <v>0</v>
      </c>
      <c r="G12" s="8"/>
      <c r="H12" s="2"/>
      <c r="I12" s="10">
        <f t="shared" si="4"/>
        <v>0</v>
      </c>
      <c r="J12" s="19" t="s">
        <v>57</v>
      </c>
      <c r="K12" s="20"/>
      <c r="L12" s="20"/>
      <c r="M12" s="21"/>
      <c r="N12" s="20"/>
      <c r="O12" s="11">
        <f t="shared" si="5"/>
        <v>0</v>
      </c>
      <c r="P12" s="22"/>
      <c r="Q12" s="19" t="s">
        <v>57</v>
      </c>
      <c r="R12" s="23">
        <f t="shared" si="6"/>
        <v>0</v>
      </c>
      <c r="S12" s="24" t="e">
        <f t="shared" si="2"/>
        <v>#DIV/0!</v>
      </c>
      <c r="T12" s="25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</row>
    <row r="13" spans="1:121" s="4" customFormat="1" ht="23.25" customHeight="1">
      <c r="A13" s="7"/>
      <c r="B13" s="7"/>
      <c r="C13" s="7" t="s">
        <v>56</v>
      </c>
      <c r="D13" s="8"/>
      <c r="E13" s="2"/>
      <c r="F13" s="10">
        <f t="shared" si="3"/>
        <v>0</v>
      </c>
      <c r="G13" s="8"/>
      <c r="H13" s="2"/>
      <c r="I13" s="10">
        <f t="shared" si="4"/>
        <v>0</v>
      </c>
      <c r="J13" s="19" t="s">
        <v>57</v>
      </c>
      <c r="K13" s="20"/>
      <c r="L13" s="20"/>
      <c r="M13" s="21"/>
      <c r="N13" s="20"/>
      <c r="O13" s="11">
        <f t="shared" si="5"/>
        <v>0</v>
      </c>
      <c r="P13" s="22"/>
      <c r="Q13" s="19" t="s">
        <v>57</v>
      </c>
      <c r="R13" s="23">
        <f t="shared" si="6"/>
        <v>0</v>
      </c>
      <c r="S13" s="24" t="e">
        <f t="shared" si="2"/>
        <v>#DIV/0!</v>
      </c>
      <c r="T13" s="25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</row>
    <row r="14" spans="1:121" s="4" customFormat="1" ht="23.25" customHeight="1">
      <c r="A14" s="7"/>
      <c r="B14" s="7"/>
      <c r="C14" s="7" t="s">
        <v>56</v>
      </c>
      <c r="D14" s="8"/>
      <c r="E14" s="2"/>
      <c r="F14" s="10">
        <f t="shared" si="3"/>
        <v>0</v>
      </c>
      <c r="G14" s="8"/>
      <c r="H14" s="2"/>
      <c r="I14" s="10">
        <f t="shared" si="4"/>
        <v>0</v>
      </c>
      <c r="J14" s="19" t="s">
        <v>57</v>
      </c>
      <c r="K14" s="20"/>
      <c r="L14" s="20"/>
      <c r="M14" s="21"/>
      <c r="N14" s="20"/>
      <c r="O14" s="11">
        <f t="shared" si="5"/>
        <v>0</v>
      </c>
      <c r="P14" s="22"/>
      <c r="Q14" s="19" t="s">
        <v>57</v>
      </c>
      <c r="R14" s="23">
        <f t="shared" si="6"/>
        <v>0</v>
      </c>
      <c r="S14" s="24" t="e">
        <f t="shared" si="2"/>
        <v>#DIV/0!</v>
      </c>
      <c r="T14" s="25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</row>
    <row r="15" spans="1:121" s="4" customFormat="1" ht="23.25" customHeight="1">
      <c r="A15" s="7"/>
      <c r="B15" s="7"/>
      <c r="C15" s="7" t="s">
        <v>56</v>
      </c>
      <c r="D15" s="8"/>
      <c r="E15" s="2"/>
      <c r="F15" s="10">
        <f t="shared" si="3"/>
        <v>0</v>
      </c>
      <c r="G15" s="8"/>
      <c r="H15" s="2"/>
      <c r="I15" s="10">
        <f t="shared" si="4"/>
        <v>0</v>
      </c>
      <c r="J15" s="19" t="s">
        <v>57</v>
      </c>
      <c r="K15" s="20"/>
      <c r="L15" s="20"/>
      <c r="M15" s="21"/>
      <c r="N15" s="20"/>
      <c r="O15" s="11">
        <f t="shared" si="5"/>
        <v>0</v>
      </c>
      <c r="P15" s="22"/>
      <c r="Q15" s="19" t="s">
        <v>57</v>
      </c>
      <c r="R15" s="23">
        <f t="shared" si="6"/>
        <v>0</v>
      </c>
      <c r="S15" s="24" t="e">
        <f t="shared" si="2"/>
        <v>#DIV/0!</v>
      </c>
      <c r="T15" s="25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</row>
    <row r="16" spans="1:121" s="4" customFormat="1" ht="23.25" customHeight="1">
      <c r="A16" s="7"/>
      <c r="B16" s="7"/>
      <c r="C16" s="7" t="s">
        <v>56</v>
      </c>
      <c r="D16" s="8"/>
      <c r="E16" s="2"/>
      <c r="F16" s="10">
        <f t="shared" si="3"/>
        <v>0</v>
      </c>
      <c r="G16" s="8"/>
      <c r="H16" s="2"/>
      <c r="I16" s="10">
        <f t="shared" si="4"/>
        <v>0</v>
      </c>
      <c r="J16" s="19" t="s">
        <v>57</v>
      </c>
      <c r="K16" s="20"/>
      <c r="L16" s="20"/>
      <c r="M16" s="21"/>
      <c r="N16" s="20"/>
      <c r="O16" s="11">
        <f t="shared" si="5"/>
        <v>0</v>
      </c>
      <c r="P16" s="22"/>
      <c r="Q16" s="19" t="s">
        <v>57</v>
      </c>
      <c r="R16" s="23">
        <f t="shared" si="6"/>
        <v>0</v>
      </c>
      <c r="S16" s="24" t="e">
        <f t="shared" si="2"/>
        <v>#DIV/0!</v>
      </c>
      <c r="T16" s="25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</row>
    <row r="17" spans="1:121" s="4" customFormat="1" ht="23.25" customHeight="1">
      <c r="A17" s="7"/>
      <c r="B17" s="7"/>
      <c r="C17" s="7" t="s">
        <v>56</v>
      </c>
      <c r="D17" s="8"/>
      <c r="E17" s="2"/>
      <c r="F17" s="10">
        <f t="shared" si="3"/>
        <v>0</v>
      </c>
      <c r="G17" s="8"/>
      <c r="H17" s="2"/>
      <c r="I17" s="10">
        <f t="shared" si="4"/>
        <v>0</v>
      </c>
      <c r="J17" s="19" t="s">
        <v>57</v>
      </c>
      <c r="K17" s="20"/>
      <c r="L17" s="20"/>
      <c r="M17" s="21"/>
      <c r="N17" s="20"/>
      <c r="O17" s="11">
        <f t="shared" si="5"/>
        <v>0</v>
      </c>
      <c r="P17" s="22"/>
      <c r="Q17" s="19" t="s">
        <v>57</v>
      </c>
      <c r="R17" s="23">
        <f t="shared" si="6"/>
        <v>0</v>
      </c>
      <c r="S17" s="24" t="e">
        <f t="shared" si="2"/>
        <v>#DIV/0!</v>
      </c>
      <c r="T17" s="25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</row>
    <row r="18" spans="1:121" s="4" customFormat="1" ht="23.25" customHeight="1">
      <c r="A18" s="7"/>
      <c r="B18" s="7"/>
      <c r="C18" s="7" t="s">
        <v>56</v>
      </c>
      <c r="D18" s="8"/>
      <c r="E18" s="2"/>
      <c r="F18" s="10">
        <f t="shared" si="3"/>
        <v>0</v>
      </c>
      <c r="G18" s="8"/>
      <c r="H18" s="2"/>
      <c r="I18" s="10">
        <f t="shared" si="4"/>
        <v>0</v>
      </c>
      <c r="J18" s="19" t="s">
        <v>57</v>
      </c>
      <c r="K18" s="20"/>
      <c r="L18" s="20"/>
      <c r="M18" s="21"/>
      <c r="N18" s="20"/>
      <c r="O18" s="11">
        <f t="shared" si="5"/>
        <v>0</v>
      </c>
      <c r="P18" s="22"/>
      <c r="Q18" s="19" t="s">
        <v>57</v>
      </c>
      <c r="R18" s="23">
        <f t="shared" si="6"/>
        <v>0</v>
      </c>
      <c r="S18" s="24" t="e">
        <f t="shared" si="2"/>
        <v>#DIV/0!</v>
      </c>
      <c r="T18" s="25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</row>
    <row r="19" spans="1:121" s="4" customFormat="1" ht="23.25" customHeight="1">
      <c r="A19" s="7"/>
      <c r="B19" s="7"/>
      <c r="C19" s="7" t="s">
        <v>56</v>
      </c>
      <c r="D19" s="8"/>
      <c r="E19" s="2"/>
      <c r="F19" s="10">
        <f t="shared" ref="F19:F24" si="7">IF(E19&gt;=D19,E19-D19,E19-D19+1)</f>
        <v>0</v>
      </c>
      <c r="G19" s="8"/>
      <c r="H19" s="2"/>
      <c r="I19" s="10">
        <f t="shared" ref="I19:I24" si="8">IF(H19&gt;=G19,H19-G19,H19-G19+1)</f>
        <v>0</v>
      </c>
      <c r="J19" s="19" t="s">
        <v>57</v>
      </c>
      <c r="K19" s="20"/>
      <c r="L19" s="20"/>
      <c r="M19" s="21"/>
      <c r="N19" s="20"/>
      <c r="O19" s="11">
        <f t="shared" ref="O19:O24" si="9">IF(LEFT(M19,2)="01","JAPAN",IF(LEFT(M19,2)="03","CHINA",IF(LEFT(M19,2)="07","EUROPE",IF(LEFT(M19,2)="14","AU",IF(LEFT(M19,2)="17","CANADA",IF(LEFT(M19,2)="36","INDIA",IF(LEFT(M19,2)="04","USA",IF(LEFT(M19,2)="27","MALAYSIA",IF(LEFT(M19,2)="05","KOREA",IF(LEFT(M19,2)="11","THAILAND",IF(LEFT(M19,2)="10","TAIWAN",)))))))))))</f>
        <v>0</v>
      </c>
      <c r="P19" s="22"/>
      <c r="Q19" s="19" t="s">
        <v>57</v>
      </c>
      <c r="R19" s="23">
        <f t="shared" ref="R19:R20" si="10">SUM(U19:BC19)</f>
        <v>0</v>
      </c>
      <c r="S19" s="24" t="e">
        <f t="shared" ref="S19:S20" si="11">R19/P19</f>
        <v>#DIV/0!</v>
      </c>
      <c r="T19" s="25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</row>
    <row r="20" spans="1:121" s="4" customFormat="1" ht="23.25" customHeight="1">
      <c r="A20" s="7"/>
      <c r="B20" s="7"/>
      <c r="C20" s="7" t="s">
        <v>56</v>
      </c>
      <c r="D20" s="8"/>
      <c r="E20" s="2"/>
      <c r="F20" s="10">
        <f t="shared" si="7"/>
        <v>0</v>
      </c>
      <c r="G20" s="8"/>
      <c r="H20" s="2"/>
      <c r="I20" s="10">
        <f t="shared" si="8"/>
        <v>0</v>
      </c>
      <c r="J20" s="19" t="s">
        <v>57</v>
      </c>
      <c r="K20" s="20"/>
      <c r="L20" s="20"/>
      <c r="M20" s="21"/>
      <c r="N20" s="20"/>
      <c r="O20" s="11">
        <f t="shared" si="9"/>
        <v>0</v>
      </c>
      <c r="P20" s="22"/>
      <c r="Q20" s="19" t="s">
        <v>57</v>
      </c>
      <c r="R20" s="23">
        <f t="shared" si="10"/>
        <v>0</v>
      </c>
      <c r="S20" s="24" t="e">
        <f t="shared" si="11"/>
        <v>#DIV/0!</v>
      </c>
      <c r="T20" s="25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</row>
    <row r="21" spans="1:121" s="4" customFormat="1" ht="23.25" customHeight="1">
      <c r="A21" s="7"/>
      <c r="B21" s="7"/>
      <c r="C21" s="7" t="s">
        <v>56</v>
      </c>
      <c r="D21" s="8"/>
      <c r="E21" s="2"/>
      <c r="F21" s="10">
        <f t="shared" si="7"/>
        <v>0</v>
      </c>
      <c r="G21" s="8"/>
      <c r="H21" s="2"/>
      <c r="I21" s="10">
        <f t="shared" si="8"/>
        <v>0</v>
      </c>
      <c r="J21" s="19" t="s">
        <v>57</v>
      </c>
      <c r="K21" s="20"/>
      <c r="L21" s="20"/>
      <c r="M21" s="21"/>
      <c r="N21" s="20"/>
      <c r="O21" s="11">
        <f t="shared" si="9"/>
        <v>0</v>
      </c>
      <c r="P21" s="22"/>
      <c r="Q21" s="19" t="s">
        <v>57</v>
      </c>
      <c r="R21" s="23">
        <f t="shared" ref="R21:R22" si="12">SUM(U21:BC21)</f>
        <v>0</v>
      </c>
      <c r="S21" s="24" t="e">
        <f t="shared" ref="S21:S22" si="13">R21/P21</f>
        <v>#DIV/0!</v>
      </c>
      <c r="T21" s="25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</row>
    <row r="22" spans="1:121" s="4" customFormat="1" ht="23.25" customHeight="1">
      <c r="A22" s="7"/>
      <c r="B22" s="7"/>
      <c r="C22" s="7" t="s">
        <v>56</v>
      </c>
      <c r="D22" s="8"/>
      <c r="E22" s="2"/>
      <c r="F22" s="10">
        <f t="shared" si="7"/>
        <v>0</v>
      </c>
      <c r="G22" s="8"/>
      <c r="H22" s="2"/>
      <c r="I22" s="10">
        <f t="shared" si="8"/>
        <v>0</v>
      </c>
      <c r="J22" s="19" t="s">
        <v>57</v>
      </c>
      <c r="K22" s="20"/>
      <c r="L22" s="20"/>
      <c r="M22" s="21"/>
      <c r="N22" s="20"/>
      <c r="O22" s="11">
        <f t="shared" si="9"/>
        <v>0</v>
      </c>
      <c r="P22" s="22"/>
      <c r="Q22" s="19" t="s">
        <v>57</v>
      </c>
      <c r="R22" s="23">
        <f t="shared" si="12"/>
        <v>0</v>
      </c>
      <c r="S22" s="24" t="e">
        <f t="shared" si="13"/>
        <v>#DIV/0!</v>
      </c>
      <c r="T22" s="25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</row>
    <row r="23" spans="1:121" s="4" customFormat="1" ht="23.25" customHeight="1">
      <c r="A23" s="7"/>
      <c r="B23" s="7"/>
      <c r="C23" s="7" t="s">
        <v>56</v>
      </c>
      <c r="D23" s="8"/>
      <c r="E23" s="2"/>
      <c r="F23" s="10">
        <f t="shared" si="7"/>
        <v>0</v>
      </c>
      <c r="G23" s="8"/>
      <c r="H23" s="2"/>
      <c r="I23" s="10">
        <f t="shared" si="8"/>
        <v>0</v>
      </c>
      <c r="J23" s="19" t="s">
        <v>57</v>
      </c>
      <c r="K23" s="20"/>
      <c r="L23" s="20"/>
      <c r="M23" s="21"/>
      <c r="N23" s="20"/>
      <c r="O23" s="11">
        <f t="shared" si="9"/>
        <v>0</v>
      </c>
      <c r="P23" s="22"/>
      <c r="Q23" s="19" t="s">
        <v>57</v>
      </c>
      <c r="R23" s="23">
        <f t="shared" ref="R23:R24" si="14">SUM(U23:BC23)</f>
        <v>0</v>
      </c>
      <c r="S23" s="24" t="e">
        <f t="shared" ref="S23:S24" si="15">R23/P23</f>
        <v>#DIV/0!</v>
      </c>
      <c r="T23" s="25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</row>
    <row r="24" spans="1:121" s="4" customFormat="1" ht="23.25" customHeight="1">
      <c r="A24" s="7"/>
      <c r="B24" s="7"/>
      <c r="C24" s="7" t="s">
        <v>56</v>
      </c>
      <c r="D24" s="8"/>
      <c r="E24" s="2"/>
      <c r="F24" s="10">
        <f t="shared" si="7"/>
        <v>0</v>
      </c>
      <c r="G24" s="8"/>
      <c r="H24" s="2"/>
      <c r="I24" s="10">
        <f t="shared" si="8"/>
        <v>0</v>
      </c>
      <c r="J24" s="19" t="s">
        <v>57</v>
      </c>
      <c r="K24" s="20"/>
      <c r="L24" s="20"/>
      <c r="M24" s="21"/>
      <c r="N24" s="20"/>
      <c r="O24" s="11">
        <f t="shared" si="9"/>
        <v>0</v>
      </c>
      <c r="P24" s="22"/>
      <c r="Q24" s="19" t="s">
        <v>57</v>
      </c>
      <c r="R24" s="23">
        <f t="shared" si="14"/>
        <v>0</v>
      </c>
      <c r="S24" s="24" t="e">
        <f t="shared" si="15"/>
        <v>#DIV/0!</v>
      </c>
      <c r="T24" s="25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</row>
    <row r="25" spans="1:121">
      <c r="A25" s="6"/>
      <c r="B25" s="6"/>
      <c r="C25" s="6"/>
      <c r="D25" s="6"/>
      <c r="E25" s="6"/>
      <c r="F25" s="6"/>
      <c r="G25" s="6"/>
      <c r="H25" s="6"/>
      <c r="I25" s="6"/>
      <c r="M25" s="6"/>
      <c r="O25" s="6"/>
      <c r="P25" s="6"/>
      <c r="Q25" s="6"/>
      <c r="R25" s="17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121">
      <c r="A26" s="6"/>
      <c r="B26" s="6"/>
      <c r="C26" s="6"/>
      <c r="D26" s="6"/>
      <c r="E26" s="6"/>
      <c r="F26" s="6"/>
      <c r="G26" s="6"/>
      <c r="H26" s="6"/>
      <c r="I26" s="6"/>
      <c r="M26" s="6"/>
      <c r="O26" s="6"/>
      <c r="P26" s="6"/>
      <c r="Q26" s="6"/>
      <c r="R26" s="17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32" spans="1:121">
      <c r="B32" s="18"/>
    </row>
  </sheetData>
  <mergeCells count="23">
    <mergeCell ref="A1:R1"/>
    <mergeCell ref="U1:Z1"/>
    <mergeCell ref="AP1:AT1"/>
    <mergeCell ref="AU1:AZ1"/>
    <mergeCell ref="BA1:BC1"/>
    <mergeCell ref="AA1:AO1"/>
    <mergeCell ref="S1:T1"/>
    <mergeCell ref="A2:A3"/>
    <mergeCell ref="B2:B3"/>
    <mergeCell ref="C2:C3"/>
    <mergeCell ref="D2:D3"/>
    <mergeCell ref="E2:E3"/>
    <mergeCell ref="G2:G3"/>
    <mergeCell ref="H2:H3"/>
    <mergeCell ref="R2:R3"/>
    <mergeCell ref="S2:S3"/>
    <mergeCell ref="T2:T3"/>
    <mergeCell ref="P2:P3"/>
    <mergeCell ref="Q2:Q3"/>
    <mergeCell ref="J2:J3"/>
    <mergeCell ref="K2:K3"/>
    <mergeCell ref="M2:M3"/>
    <mergeCell ref="O2:O3"/>
  </mergeCells>
  <printOptions horizontalCentered="1"/>
  <pageMargins left="0" right="0" top="0" bottom="0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INLINE</vt:lpstr>
      <vt:lpstr>INLINE!Print_Area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JUEL</dc:creator>
  <cp:lastModifiedBy>Forhath PC</cp:lastModifiedBy>
  <cp:lastPrinted>2025-12-06T09:09:07Z</cp:lastPrinted>
  <dcterms:created xsi:type="dcterms:W3CDTF">2023-12-12T04:01:42Z</dcterms:created>
  <dcterms:modified xsi:type="dcterms:W3CDTF">2026-07-01T04:16:22Z</dcterms:modified>
</cp:coreProperties>
</file>