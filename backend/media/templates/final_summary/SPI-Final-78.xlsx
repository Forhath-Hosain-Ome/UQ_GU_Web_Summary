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"/>
    </mc:Choice>
  </mc:AlternateContent>
  <xr:revisionPtr revIDLastSave="0" documentId="13_ncr:1_{C499FC8C-DC77-48FB-80FC-BAECF38FBF75}" xr6:coauthVersionLast="47" xr6:coauthVersionMax="47" xr10:uidLastSave="{00000000-0000-0000-0000-000000000000}"/>
  <bookViews>
    <workbookView xWindow="-120" yWindow="-120" windowWidth="29040" windowHeight="16440" tabRatio="570" xr2:uid="{00000000-000D-0000-FFFF-FFFF00000000}"/>
  </bookViews>
  <sheets>
    <sheet name="Final" sheetId="6" r:id="rId1"/>
  </sheets>
  <definedNames>
    <definedName name="_xlnm.Print_Area" localSheetId="0">Final!$A$1:$CY$40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6" l="1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AA4" i="6"/>
  <c r="Z4" i="6"/>
  <c r="U4" i="6"/>
  <c r="T4" i="6"/>
  <c r="C27" i="6" l="1"/>
  <c r="C28" i="6"/>
  <c r="C29" i="6"/>
  <c r="C30" i="6"/>
  <c r="C31" i="6"/>
  <c r="C32" i="6"/>
  <c r="C33" i="6"/>
  <c r="C34" i="6"/>
  <c r="C35" i="6"/>
  <c r="C36" i="6"/>
  <c r="C37" i="6"/>
  <c r="C38" i="6"/>
  <c r="C39" i="6"/>
  <c r="C25" i="6"/>
  <c r="C26" i="6"/>
  <c r="C24" i="6" l="1"/>
  <c r="W23" i="6"/>
  <c r="X23" i="6" s="1"/>
  <c r="O23" i="6"/>
  <c r="I23" i="6"/>
  <c r="F23" i="6"/>
  <c r="C23" i="6"/>
  <c r="W22" i="6"/>
  <c r="X22" i="6" s="1"/>
  <c r="O22" i="6"/>
  <c r="I22" i="6"/>
  <c r="F22" i="6"/>
  <c r="C22" i="6"/>
  <c r="W21" i="6"/>
  <c r="X21" i="6" s="1"/>
  <c r="O21" i="6"/>
  <c r="I21" i="6"/>
  <c r="F21" i="6"/>
  <c r="C21" i="6"/>
  <c r="W20" i="6"/>
  <c r="X20" i="6" s="1"/>
  <c r="O20" i="6"/>
  <c r="I20" i="6"/>
  <c r="F20" i="6"/>
  <c r="C20" i="6"/>
  <c r="W19" i="6"/>
  <c r="X19" i="6" s="1"/>
  <c r="O19" i="6"/>
  <c r="I19" i="6"/>
  <c r="F19" i="6"/>
  <c r="C19" i="6"/>
  <c r="W18" i="6"/>
  <c r="X18" i="6" s="1"/>
  <c r="O18" i="6"/>
  <c r="I18" i="6"/>
  <c r="F18" i="6"/>
  <c r="C18" i="6"/>
  <c r="C17" i="6" l="1"/>
  <c r="C14" i="6" l="1"/>
  <c r="C15" i="6"/>
  <c r="C16" i="6"/>
  <c r="C13" i="6" l="1"/>
  <c r="W13" i="6"/>
  <c r="W14" i="6"/>
  <c r="W15" i="6"/>
  <c r="W16" i="6"/>
  <c r="W17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O13" i="6" l="1"/>
  <c r="O14" i="6"/>
  <c r="O15" i="6"/>
  <c r="O16" i="6"/>
  <c r="O17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12" i="6"/>
  <c r="X39" i="6" l="1"/>
  <c r="X33" i="6" l="1"/>
  <c r="X34" i="6"/>
  <c r="X36" i="6"/>
  <c r="X37" i="6"/>
  <c r="X38" i="6"/>
  <c r="I34" i="6"/>
  <c r="I35" i="6"/>
  <c r="I36" i="6"/>
  <c r="I37" i="6"/>
  <c r="I38" i="6"/>
  <c r="I39" i="6"/>
  <c r="F34" i="6"/>
  <c r="F35" i="6"/>
  <c r="F36" i="6"/>
  <c r="F37" i="6"/>
  <c r="F38" i="6"/>
  <c r="F39" i="6"/>
  <c r="C12" i="6"/>
  <c r="X35" i="6" l="1"/>
  <c r="I13" i="6" l="1"/>
  <c r="I14" i="6"/>
  <c r="I15" i="6"/>
  <c r="I16" i="6"/>
  <c r="I17" i="6"/>
  <c r="I24" i="6"/>
  <c r="I25" i="6"/>
  <c r="I26" i="6"/>
  <c r="I27" i="6"/>
  <c r="I28" i="6"/>
  <c r="I29" i="6"/>
  <c r="I30" i="6"/>
  <c r="I31" i="6"/>
  <c r="I32" i="6"/>
  <c r="I33" i="6"/>
  <c r="F13" i="6"/>
  <c r="F14" i="6"/>
  <c r="F15" i="6"/>
  <c r="F16" i="6"/>
  <c r="F17" i="6"/>
  <c r="F24" i="6"/>
  <c r="F25" i="6"/>
  <c r="F26" i="6"/>
  <c r="F27" i="6"/>
  <c r="F28" i="6"/>
  <c r="F29" i="6"/>
  <c r="F30" i="6"/>
  <c r="F31" i="6"/>
  <c r="F32" i="6"/>
  <c r="F33" i="6"/>
  <c r="X13" i="6"/>
  <c r="X14" i="6"/>
  <c r="X15" i="6"/>
  <c r="X16" i="6"/>
  <c r="X17" i="6"/>
  <c r="X24" i="6"/>
  <c r="X25" i="6"/>
  <c r="X26" i="6"/>
  <c r="X27" i="6"/>
  <c r="X28" i="6"/>
  <c r="X29" i="6"/>
  <c r="X30" i="6"/>
  <c r="X31" i="6"/>
  <c r="X32" i="6"/>
  <c r="I12" i="6" l="1"/>
  <c r="F12" i="6"/>
  <c r="W12" i="6"/>
  <c r="W4" i="6" s="1"/>
  <c r="X4" i="6" s="1"/>
  <c r="X12" i="6" l="1"/>
  <c r="AI3" i="6" l="1"/>
  <c r="Z3" i="6"/>
  <c r="CX3" i="6"/>
  <c r="CY3" i="6"/>
  <c r="CV3" i="6"/>
  <c r="AJ3" i="6"/>
  <c r="AE3" i="6"/>
  <c r="AR3" i="6"/>
  <c r="BD3" i="6"/>
  <c r="BP3" i="6"/>
  <c r="BV3" i="6"/>
  <c r="CH3" i="6"/>
  <c r="CT3" i="6"/>
  <c r="AG3" i="6"/>
  <c r="AF3" i="6"/>
  <c r="AL3" i="6"/>
  <c r="AX3" i="6"/>
  <c r="BJ3" i="6"/>
  <c r="CB3" i="6"/>
  <c r="CN3" i="6"/>
  <c r="BL3" i="6"/>
  <c r="CA3" i="6"/>
  <c r="AQ3" i="6"/>
  <c r="CL3" i="6"/>
  <c r="BB3" i="6"/>
  <c r="AB3" i="6"/>
  <c r="BM3" i="6"/>
  <c r="AS3" i="6"/>
  <c r="AT3" i="6"/>
  <c r="BU3" i="6"/>
  <c r="AK3" i="6"/>
  <c r="CF3" i="6"/>
  <c r="AV3" i="6"/>
  <c r="CQ3" i="6"/>
  <c r="BG3" i="6"/>
  <c r="BF3" i="6"/>
  <c r="BW3" i="6"/>
  <c r="AM3" i="6"/>
  <c r="AP3" i="6"/>
  <c r="BA3" i="6"/>
  <c r="CG3" i="6"/>
  <c r="CR3" i="6"/>
  <c r="AH3" i="6"/>
  <c r="CP3" i="6"/>
  <c r="AY3" i="6"/>
  <c r="CC3" i="6"/>
  <c r="AD3" i="6"/>
  <c r="BO3" i="6"/>
  <c r="AA3" i="6"/>
  <c r="BZ3" i="6"/>
  <c r="CK3" i="6"/>
  <c r="AN3" i="6"/>
  <c r="BQ3" i="6"/>
  <c r="AW3" i="6"/>
  <c r="CS3" i="6"/>
  <c r="BI3" i="6"/>
  <c r="BX3" i="6"/>
  <c r="BT3" i="6"/>
  <c r="CD3" i="6"/>
  <c r="CE3" i="6"/>
  <c r="AU3" i="6"/>
  <c r="CU3" i="6"/>
  <c r="BK3" i="6"/>
  <c r="CM3" i="6"/>
  <c r="BC3" i="6"/>
  <c r="AC3" i="6"/>
  <c r="BN3" i="6"/>
  <c r="AZ3" i="6"/>
  <c r="BY3" i="6"/>
  <c r="AO3" i="6"/>
  <c r="CO3" i="6"/>
  <c r="BE3" i="6"/>
  <c r="CJ3" i="6"/>
  <c r="BH3" i="6"/>
  <c r="BS3" i="6"/>
  <c r="CI3" i="6"/>
  <c r="BR3" i="6"/>
  <c r="CW3" i="6"/>
</calcChain>
</file>

<file path=xl/sharedStrings.xml><?xml version="1.0" encoding="utf-8"?>
<sst xmlns="http://schemas.openxmlformats.org/spreadsheetml/2006/main" count="173" uniqueCount="116">
  <si>
    <t>出荷前監査報告書</t>
  </si>
  <si>
    <t>UQ検品内容纏め</t>
  </si>
  <si>
    <t>Factory</t>
  </si>
  <si>
    <t>Date of issue</t>
  </si>
  <si>
    <t>Inspection Type</t>
  </si>
  <si>
    <t>Audit Start Time</t>
  </si>
  <si>
    <t>Audit End Time</t>
  </si>
  <si>
    <t>Total Hours</t>
  </si>
  <si>
    <t>Audit Result</t>
  </si>
  <si>
    <t xml:space="preserve"> Item Name</t>
  </si>
  <si>
    <t>Style NO.</t>
  </si>
  <si>
    <t>POーNO</t>
  </si>
  <si>
    <t>Country</t>
  </si>
  <si>
    <t>PO  WH</t>
  </si>
  <si>
    <t>Audit Qty.</t>
  </si>
  <si>
    <t>Acceptable Defect Qty</t>
  </si>
  <si>
    <t>Defect %</t>
  </si>
  <si>
    <t>Person</t>
  </si>
  <si>
    <t>合計</t>
  </si>
  <si>
    <t>Top 5 Defects</t>
  </si>
  <si>
    <t>Defect  Name</t>
  </si>
  <si>
    <t>Defect QTY</t>
  </si>
  <si>
    <t>Factory In Time</t>
  </si>
  <si>
    <t>Factory Out Time</t>
  </si>
  <si>
    <t>Shipping Qty</t>
  </si>
  <si>
    <t>Report Number</t>
  </si>
  <si>
    <t>1.Bad packing</t>
  </si>
  <si>
    <t>2.Wrong quantity packed</t>
  </si>
  <si>
    <t>3.Others</t>
  </si>
  <si>
    <t>Defect Categorie</t>
  </si>
  <si>
    <t>-</t>
  </si>
  <si>
    <t>Defect Qty.</t>
  </si>
  <si>
    <t>1.Damage</t>
  </si>
  <si>
    <t>2.Needle breakage defect</t>
  </si>
  <si>
    <t>3.Hole, tear</t>
  </si>
  <si>
    <t>4.NEP</t>
  </si>
  <si>
    <t>5.SLUB</t>
  </si>
  <si>
    <t>6.Weft defect</t>
  </si>
  <si>
    <t>7.Unexpected things interwoven</t>
  </si>
  <si>
    <t>8.Bowing</t>
  </si>
  <si>
    <t>9.Odor</t>
  </si>
  <si>
    <t>10.Uneven dyeing</t>
  </si>
  <si>
    <t>11.Texture, surface defect</t>
  </si>
  <si>
    <t>12.Warp and weft defect</t>
  </si>
  <si>
    <t>1.Hue difference</t>
  </si>
  <si>
    <t>2.Unevenness</t>
  </si>
  <si>
    <t>3.Pieces not symmetrical</t>
  </si>
  <si>
    <t>4.Deformation (Defect in shape)</t>
  </si>
  <si>
    <t>5.Tight or loose part of fabric</t>
  </si>
  <si>
    <t>6.Uneven seam</t>
  </si>
  <si>
    <t>7.Spiralty, wrinkle</t>
  </si>
  <si>
    <t>8.PUCKERING</t>
  </si>
  <si>
    <t>9.Corrugation</t>
  </si>
  <si>
    <t>10.Thread breakage</t>
  </si>
  <si>
    <t>11.Lack of elasticity</t>
  </si>
  <si>
    <t>12.Incorrect stitching number</t>
  </si>
  <si>
    <t>13.Stitches out of seam allowance</t>
  </si>
  <si>
    <t>14.Missing stitch</t>
  </si>
  <si>
    <t>15.Lack of seam allowance</t>
  </si>
  <si>
    <t>16.Unexpected tuck</t>
  </si>
  <si>
    <t>17.Unexpected fullness</t>
  </si>
  <si>
    <t>18.Needle mark</t>
  </si>
  <si>
    <t>19.Sewing defects caused by machine</t>
  </si>
  <si>
    <t>20.Incorrect size of lining</t>
  </si>
  <si>
    <t>21.Skipped stitch</t>
  </si>
  <si>
    <t>22.Sewing involving unexpected parts</t>
  </si>
  <si>
    <t>23.Missing sewing process</t>
  </si>
  <si>
    <t>24.Mislocated bar-tack</t>
  </si>
  <si>
    <t>25.Incorrect thread tension</t>
  </si>
  <si>
    <t>26.Falling off of a thread</t>
  </si>
  <si>
    <t>27.Lack of reverse stitch</t>
  </si>
  <si>
    <t>28.Incorrect easing</t>
  </si>
  <si>
    <t>29.Piecing defect</t>
  </si>
  <si>
    <t>30.Incorrect lapped seam</t>
  </si>
  <si>
    <t>31.Incorrect trimming</t>
  </si>
  <si>
    <t>32.Lack of strength</t>
  </si>
  <si>
    <t>33.Incorrect buttonhole sewing</t>
  </si>
  <si>
    <t>34.Incorrect brand label sewing</t>
  </si>
  <si>
    <t>35.Sewing slip</t>
  </si>
  <si>
    <t>36.Incorrect position</t>
  </si>
  <si>
    <t>37.Incorrect pattern matching</t>
  </si>
  <si>
    <t>38.Peel off glue/delamination</t>
  </si>
  <si>
    <t>39.Visible/see through glue</t>
  </si>
  <si>
    <t>40.Bonding seam uneven/wavy</t>
  </si>
  <si>
    <t>41.Bonding seam not catch up/bad selvaged</t>
  </si>
  <si>
    <t>42.Stick glue/leaking glue</t>
  </si>
  <si>
    <t>43.Mold Shape</t>
  </si>
  <si>
    <t>44.Poor application glue position</t>
  </si>
  <si>
    <t>C : ACC</t>
  </si>
  <si>
    <t>1.Unsecured rivet and snap buttons</t>
  </si>
  <si>
    <t>2.Incorrect swaging</t>
  </si>
  <si>
    <t>3.Falling off of buttons</t>
  </si>
  <si>
    <t>4.Burr</t>
  </si>
  <si>
    <t>5.Incorrect zippers</t>
  </si>
  <si>
    <t>6.Incorrect indication of sub materials</t>
  </si>
  <si>
    <t>7.Incorrect quality of materials</t>
  </si>
  <si>
    <t>8.Missing accessories</t>
  </si>
  <si>
    <t>9.Adhesive interlining</t>
  </si>
  <si>
    <t>D : Finish</t>
  </si>
  <si>
    <t>1.Dust, lint</t>
  </si>
  <si>
    <t>2.Smear, stain</t>
  </si>
  <si>
    <t>3.Size</t>
  </si>
  <si>
    <t>4.Peel off and misalignment of prints</t>
  </si>
  <si>
    <t>5.Pressure mark</t>
  </si>
  <si>
    <t>6.Wash finish</t>
  </si>
  <si>
    <t>E : Safety</t>
  </si>
  <si>
    <t>1.Thread</t>
  </si>
  <si>
    <t>2.Hazardous object/ foreign bodies</t>
  </si>
  <si>
    <t>3.Odor</t>
  </si>
  <si>
    <t>PO Qty.(Pcs)</t>
  </si>
  <si>
    <t>PO Qty.(Pack)</t>
  </si>
  <si>
    <t>PO Qty.(Set)</t>
  </si>
  <si>
    <t>A : Fabrics</t>
  </si>
  <si>
    <t>B : Sewing</t>
  </si>
  <si>
    <t>F : Others</t>
  </si>
  <si>
    <t>45.Yarn severance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</si>
</sst>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mm"/>
    <numFmt numFmtId="165" formatCode="[$-409]h:mm\ AM/PM;@"/>
    <numFmt numFmtId="166" formatCode="0;\-00;;@"/>
    <numFmt numFmtId="167" formatCode="dd\-mmm\-yyyy"/>
  </numFmts>
  <fonts count="62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9"/>
      <color theme="1"/>
      <name val="Calibri"/>
      <family val="2"/>
      <scheme val="minor"/>
    </font>
    <font>
      <u/>
      <sz val="9"/>
      <name val="Arial"/>
      <family val="2"/>
    </font>
    <font>
      <sz val="9"/>
      <color theme="1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6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9" fontId="12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/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0" fillId="0" borderId="0"/>
    <xf numFmtId="0" fontId="7" fillId="0" borderId="0"/>
    <xf numFmtId="0" fontId="31" fillId="0" borderId="0"/>
    <xf numFmtId="0" fontId="31" fillId="0" borderId="0"/>
    <xf numFmtId="0" fontId="32" fillId="0" borderId="0"/>
    <xf numFmtId="0" fontId="33" fillId="0" borderId="0">
      <alignment vertical="center"/>
    </xf>
    <xf numFmtId="0" fontId="34" fillId="0" borderId="0">
      <alignment vertical="center"/>
    </xf>
    <xf numFmtId="0" fontId="3" fillId="0" borderId="0"/>
    <xf numFmtId="0" fontId="2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26" borderId="11" applyNumberFormat="0" applyFon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36" fillId="27" borderId="12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8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13" applyNumberFormat="0" applyFill="0" applyAlignment="0" applyProtection="0">
      <alignment vertical="center"/>
    </xf>
    <xf numFmtId="0" fontId="3" fillId="26" borderId="11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7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7" borderId="5" applyNumberFormat="0" applyAlignment="0" applyProtection="0">
      <alignment vertical="center"/>
    </xf>
    <xf numFmtId="0" fontId="51" fillId="7" borderId="5" applyNumberFormat="0" applyAlignment="0" applyProtection="0">
      <alignment vertical="center"/>
    </xf>
    <xf numFmtId="0" fontId="52" fillId="27" borderId="12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6" fillId="0" borderId="0" xfId="0" applyFont="1" applyAlignment="1">
      <alignment vertical="center"/>
    </xf>
    <xf numFmtId="165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4" fillId="0" borderId="1" xfId="1" applyFont="1" applyBorder="1" applyAlignment="1" applyProtection="1">
      <alignment horizontal="center" vertical="center" wrapText="1"/>
      <protection locked="0" hidden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164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8" fillId="5" borderId="19" xfId="1" applyFont="1" applyFill="1" applyBorder="1" applyAlignment="1" applyProtection="1">
      <alignment horizontal="center" vertical="center" wrapText="1"/>
      <protection hidden="1"/>
    </xf>
    <xf numFmtId="10" fontId="8" fillId="5" borderId="19" xfId="1" applyNumberFormat="1" applyFont="1" applyFill="1" applyBorder="1" applyAlignment="1" applyProtection="1">
      <alignment horizontal="center" vertical="center" wrapText="1"/>
      <protection hidden="1"/>
    </xf>
    <xf numFmtId="166" fontId="8" fillId="5" borderId="19" xfId="1" applyNumberFormat="1" applyFont="1" applyFill="1" applyBorder="1" applyAlignment="1" applyProtection="1">
      <alignment horizontal="center" vertical="center" wrapText="1"/>
      <protection hidden="1"/>
    </xf>
    <xf numFmtId="0" fontId="4" fillId="0" borderId="1" xfId="1" quotePrefix="1" applyFont="1" applyBorder="1" applyAlignment="1" applyProtection="1">
      <alignment horizontal="center" vertical="center" wrapText="1"/>
      <protection locked="0" hidden="1"/>
    </xf>
    <xf numFmtId="0" fontId="4" fillId="3" borderId="1" xfId="1" applyFont="1" applyFill="1" applyBorder="1" applyAlignment="1" applyProtection="1">
      <alignment horizontal="center" vertical="center" wrapText="1"/>
      <protection locked="0" hidden="1"/>
    </xf>
    <xf numFmtId="49" fontId="4" fillId="0" borderId="1" xfId="1" applyNumberFormat="1" applyFont="1" applyBorder="1" applyAlignment="1" applyProtection="1">
      <alignment horizontal="center" vertical="center" wrapText="1"/>
      <protection locked="0" hidden="1"/>
    </xf>
    <xf numFmtId="3" fontId="4" fillId="0" borderId="1" xfId="1" applyNumberFormat="1" applyFont="1" applyBorder="1" applyAlignment="1" applyProtection="1">
      <alignment horizontal="center" vertical="center" wrapText="1"/>
      <protection locked="0" hidden="1"/>
    </xf>
    <xf numFmtId="166" fontId="4" fillId="0" borderId="1" xfId="1" applyNumberFormat="1" applyFont="1" applyBorder="1" applyAlignment="1" applyProtection="1">
      <alignment horizontal="center" vertical="center" wrapText="1"/>
      <protection hidden="1"/>
    </xf>
    <xf numFmtId="10" fontId="4" fillId="0" borderId="1" xfId="1" applyNumberFormat="1" applyFont="1" applyBorder="1" applyAlignment="1" applyProtection="1">
      <alignment horizontal="center" vertical="center" wrapText="1"/>
      <protection hidden="1"/>
    </xf>
    <xf numFmtId="0" fontId="56" fillId="33" borderId="21" xfId="123" applyFont="1" applyFill="1" applyBorder="1" applyAlignment="1">
      <alignment horizontal="center" vertical="center"/>
    </xf>
    <xf numFmtId="0" fontId="56" fillId="33" borderId="22" xfId="123" applyFont="1" applyFill="1" applyBorder="1" applyAlignment="1">
      <alignment horizontal="center" vertical="center"/>
    </xf>
    <xf numFmtId="0" fontId="56" fillId="28" borderId="1" xfId="123" applyFont="1" applyFill="1" applyBorder="1" applyAlignment="1">
      <alignment horizontal="center" vertical="center" wrapText="1"/>
    </xf>
    <xf numFmtId="0" fontId="56" fillId="28" borderId="1" xfId="123" applyFont="1" applyFill="1" applyBorder="1" applyAlignment="1">
      <alignment horizontal="center" vertical="center"/>
    </xf>
    <xf numFmtId="10" fontId="56" fillId="28" borderId="24" xfId="123" applyNumberFormat="1" applyFont="1" applyFill="1" applyBorder="1" applyAlignment="1">
      <alignment horizontal="center" vertical="center"/>
    </xf>
    <xf numFmtId="0" fontId="56" fillId="29" borderId="1" xfId="123" applyFont="1" applyFill="1" applyBorder="1" applyAlignment="1">
      <alignment horizontal="center" vertical="center" wrapText="1"/>
    </xf>
    <xf numFmtId="0" fontId="56" fillId="29" borderId="1" xfId="123" applyFont="1" applyFill="1" applyBorder="1" applyAlignment="1">
      <alignment horizontal="center" vertical="center"/>
    </xf>
    <xf numFmtId="10" fontId="56" fillId="29" borderId="24" xfId="123" applyNumberFormat="1" applyFont="1" applyFill="1" applyBorder="1" applyAlignment="1">
      <alignment horizontal="center" vertical="center"/>
    </xf>
    <xf numFmtId="0" fontId="56" fillId="30" borderId="1" xfId="123" applyFont="1" applyFill="1" applyBorder="1" applyAlignment="1">
      <alignment horizontal="center" vertical="center" wrapText="1"/>
    </xf>
    <xf numFmtId="0" fontId="56" fillId="30" borderId="1" xfId="123" applyFont="1" applyFill="1" applyBorder="1" applyAlignment="1">
      <alignment horizontal="center" vertical="center"/>
    </xf>
    <xf numFmtId="10" fontId="56" fillId="30" borderId="24" xfId="123" applyNumberFormat="1" applyFont="1" applyFill="1" applyBorder="1" applyAlignment="1">
      <alignment horizontal="center" vertical="center"/>
    </xf>
    <xf numFmtId="0" fontId="56" fillId="31" borderId="1" xfId="123" applyFont="1" applyFill="1" applyBorder="1" applyAlignment="1">
      <alignment horizontal="center" vertical="center" wrapText="1"/>
    </xf>
    <xf numFmtId="0" fontId="56" fillId="31" borderId="1" xfId="123" applyFont="1" applyFill="1" applyBorder="1" applyAlignment="1">
      <alignment horizontal="center" vertical="center"/>
    </xf>
    <xf numFmtId="10" fontId="56" fillId="31" borderId="24" xfId="123" applyNumberFormat="1" applyFont="1" applyFill="1" applyBorder="1" applyAlignment="1">
      <alignment horizontal="center" vertical="center"/>
    </xf>
    <xf numFmtId="0" fontId="56" fillId="32" borderId="25" xfId="123" applyFont="1" applyFill="1" applyBorder="1" applyAlignment="1">
      <alignment horizontal="center" vertical="center" wrapText="1"/>
    </xf>
    <xf numFmtId="0" fontId="56" fillId="32" borderId="25" xfId="123" applyFont="1" applyFill="1" applyBorder="1" applyAlignment="1">
      <alignment horizontal="center" vertical="center"/>
    </xf>
    <xf numFmtId="10" fontId="56" fillId="32" borderId="26" xfId="123" applyNumberFormat="1" applyFont="1" applyFill="1" applyBorder="1" applyAlignment="1">
      <alignment horizontal="center" vertical="center"/>
    </xf>
    <xf numFmtId="0" fontId="4" fillId="3" borderId="27" xfId="1" applyFont="1" applyFill="1" applyBorder="1" applyAlignment="1" applyProtection="1">
      <alignment horizontal="center" vertical="center" wrapText="1"/>
      <protection locked="0" hidden="1"/>
    </xf>
    <xf numFmtId="165" fontId="4" fillId="0" borderId="23" xfId="1" applyNumberFormat="1" applyFont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>
      <alignment horizontal="center" vertical="center" wrapText="1"/>
    </xf>
    <xf numFmtId="3" fontId="8" fillId="5" borderId="18" xfId="1" applyNumberFormat="1" applyFont="1" applyFill="1" applyBorder="1" applyAlignment="1" applyProtection="1">
      <alignment horizontal="center" vertical="center" wrapText="1" shrinkToFit="1"/>
      <protection hidden="1"/>
    </xf>
    <xf numFmtId="0" fontId="4" fillId="34" borderId="1" xfId="1" applyFont="1" applyFill="1" applyBorder="1" applyAlignment="1" applyProtection="1">
      <alignment horizontal="center" vertical="center" wrapText="1"/>
      <protection hidden="1"/>
    </xf>
    <xf numFmtId="0" fontId="6" fillId="34" borderId="0" xfId="0" applyFont="1" applyFill="1" applyAlignment="1">
      <alignment horizontal="center" wrapText="1"/>
    </xf>
    <xf numFmtId="167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6" fillId="4" borderId="0" xfId="0" applyFont="1" applyFill="1" applyAlignment="1">
      <alignment horizontal="center" wrapText="1"/>
    </xf>
    <xf numFmtId="10" fontId="8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8" fillId="5" borderId="14" xfId="1" applyFont="1" applyFill="1" applyBorder="1" applyAlignment="1" applyProtection="1">
      <alignment vertical="center" wrapText="1" shrinkToFit="1"/>
      <protection hidden="1"/>
    </xf>
    <xf numFmtId="0" fontId="8" fillId="5" borderId="17" xfId="1" applyFont="1" applyFill="1" applyBorder="1" applyAlignment="1" applyProtection="1">
      <alignment vertical="center" wrapText="1" shrinkToFit="1"/>
      <protection hidden="1"/>
    </xf>
    <xf numFmtId="0" fontId="8" fillId="5" borderId="29" xfId="1" applyFont="1" applyFill="1" applyBorder="1" applyAlignment="1" applyProtection="1">
      <alignment vertical="center" wrapText="1" shrinkToFit="1"/>
      <protection hidden="1"/>
    </xf>
    <xf numFmtId="164" fontId="4" fillId="0" borderId="1" xfId="1" applyNumberFormat="1" applyFont="1" applyBorder="1" applyAlignment="1" applyProtection="1">
      <alignment horizontal="center" vertical="center" wrapText="1"/>
      <protection locked="0" hidden="1"/>
    </xf>
    <xf numFmtId="20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58" fillId="4" borderId="4" xfId="0" applyFont="1" applyFill="1" applyBorder="1" applyAlignment="1">
      <alignment horizontal="center" vertical="center"/>
    </xf>
    <xf numFmtId="16" fontId="4" fillId="3" borderId="27" xfId="1" applyNumberFormat="1" applyFont="1" applyFill="1" applyBorder="1" applyAlignment="1" applyProtection="1">
      <alignment horizontal="center" vertical="center" wrapText="1"/>
      <protection locked="0" hidden="1"/>
    </xf>
    <xf numFmtId="16" fontId="4" fillId="2" borderId="3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9" fillId="2" borderId="35" xfId="1" applyFont="1" applyFill="1" applyBorder="1" applyAlignment="1" applyProtection="1">
      <alignment horizontal="center" textRotation="90" wrapText="1"/>
      <protection hidden="1"/>
    </xf>
    <xf numFmtId="0" fontId="59" fillId="2" borderId="36" xfId="1" applyFont="1" applyFill="1" applyBorder="1" applyAlignment="1" applyProtection="1">
      <alignment horizontal="center" textRotation="90" wrapText="1"/>
      <protection hidden="1"/>
    </xf>
    <xf numFmtId="0" fontId="59" fillId="2" borderId="41" xfId="1" applyFont="1" applyFill="1" applyBorder="1" applyAlignment="1" applyProtection="1">
      <alignment horizontal="center" textRotation="90" wrapText="1"/>
      <protection hidden="1"/>
    </xf>
    <xf numFmtId="0" fontId="59" fillId="2" borderId="3" xfId="1" applyFont="1" applyFill="1" applyBorder="1" applyAlignment="1" applyProtection="1">
      <alignment horizontal="center" textRotation="90" wrapText="1"/>
      <protection hidden="1"/>
    </xf>
    <xf numFmtId="0" fontId="60" fillId="2" borderId="4" xfId="0" applyFont="1" applyFill="1" applyBorder="1" applyAlignment="1">
      <alignment textRotation="90" wrapText="1"/>
    </xf>
    <xf numFmtId="0" fontId="60" fillId="2" borderId="42" xfId="0" applyFont="1" applyFill="1" applyBorder="1" applyAlignment="1">
      <alignment textRotation="90" wrapText="1"/>
    </xf>
    <xf numFmtId="0" fontId="60" fillId="2" borderId="37" xfId="0" applyFont="1" applyFill="1" applyBorder="1" applyAlignment="1">
      <alignment textRotation="90" wrapText="1"/>
    </xf>
    <xf numFmtId="0" fontId="60" fillId="2" borderId="19" xfId="0" applyFont="1" applyFill="1" applyBorder="1" applyAlignment="1">
      <alignment textRotation="90" wrapText="1"/>
    </xf>
    <xf numFmtId="0" fontId="60" fillId="2" borderId="20" xfId="0" applyFont="1" applyFill="1" applyBorder="1" applyAlignment="1">
      <alignment textRotation="90" wrapText="1"/>
    </xf>
    <xf numFmtId="0" fontId="60" fillId="2" borderId="18" xfId="0" applyFont="1" applyFill="1" applyBorder="1" applyAlignment="1">
      <alignment textRotation="90" wrapText="1"/>
    </xf>
    <xf numFmtId="0" fontId="59" fillId="2" borderId="37" xfId="1" applyFont="1" applyFill="1" applyBorder="1" applyAlignment="1" applyProtection="1">
      <alignment horizontal="center" textRotation="90" wrapText="1"/>
      <protection hidden="1"/>
    </xf>
    <xf numFmtId="0" fontId="59" fillId="2" borderId="19" xfId="1" applyFont="1" applyFill="1" applyBorder="1" applyAlignment="1" applyProtection="1">
      <alignment horizontal="center" textRotation="90" wrapText="1"/>
      <protection hidden="1"/>
    </xf>
    <xf numFmtId="0" fontId="59" fillId="2" borderId="43" xfId="1" applyFont="1" applyFill="1" applyBorder="1" applyAlignment="1" applyProtection="1">
      <alignment horizontal="center" textRotation="90" wrapText="1"/>
      <protection hidden="1"/>
    </xf>
    <xf numFmtId="0" fontId="59" fillId="2" borderId="20" xfId="1" applyFont="1" applyFill="1" applyBorder="1" applyAlignment="1" applyProtection="1">
      <alignment horizontal="center" textRotation="90" wrapText="1"/>
      <protection hidden="1"/>
    </xf>
    <xf numFmtId="0" fontId="59" fillId="2" borderId="44" xfId="1" applyFont="1" applyFill="1" applyBorder="1" applyAlignment="1" applyProtection="1">
      <alignment horizontal="center" textRotation="90" wrapText="1"/>
      <protection hidden="1"/>
    </xf>
    <xf numFmtId="0" fontId="4" fillId="0" borderId="38" xfId="1" applyFont="1" applyBorder="1" applyAlignment="1" applyProtection="1">
      <alignment horizontal="center" vertical="center" textRotation="90" wrapText="1"/>
      <protection hidden="1"/>
    </xf>
    <xf numFmtId="0" fontId="4" fillId="0" borderId="35" xfId="1" applyFont="1" applyBorder="1" applyAlignment="1" applyProtection="1">
      <alignment horizontal="center" vertical="center" textRotation="90" wrapText="1"/>
      <protection hidden="1"/>
    </xf>
    <xf numFmtId="49" fontId="61" fillId="0" borderId="14" xfId="1" applyNumberFormat="1" applyFont="1" applyBorder="1" applyAlignment="1" applyProtection="1">
      <alignment horizontal="center" vertical="center" wrapText="1"/>
      <protection locked="0"/>
    </xf>
    <xf numFmtId="49" fontId="61" fillId="0" borderId="17" xfId="1" applyNumberFormat="1" applyFont="1" applyBorder="1" applyAlignment="1" applyProtection="1">
      <alignment horizontal="center" vertical="center" wrapText="1"/>
      <protection locked="0"/>
    </xf>
    <xf numFmtId="49" fontId="61" fillId="0" borderId="29" xfId="1" applyNumberFormat="1" applyFont="1" applyBorder="1" applyAlignment="1" applyProtection="1">
      <alignment horizontal="center" vertical="center" wrapText="1"/>
      <protection locked="0"/>
    </xf>
    <xf numFmtId="49" fontId="61" fillId="0" borderId="45" xfId="1" applyNumberFormat="1" applyFont="1" applyBorder="1" applyAlignment="1" applyProtection="1">
      <alignment horizontal="center" vertical="center" wrapText="1"/>
      <protection locked="0"/>
    </xf>
    <xf numFmtId="49" fontId="61" fillId="0" borderId="46" xfId="1" applyNumberFormat="1" applyFont="1" applyBorder="1" applyAlignment="1" applyProtection="1">
      <alignment horizontal="center" vertical="center" wrapText="1"/>
      <protection locked="0"/>
    </xf>
    <xf numFmtId="49" fontId="61" fillId="0" borderId="47" xfId="1" applyNumberFormat="1" applyFont="1" applyBorder="1" applyAlignment="1" applyProtection="1">
      <alignment horizontal="center" vertical="center" wrapText="1"/>
      <protection locked="0"/>
    </xf>
    <xf numFmtId="16" fontId="4" fillId="2" borderId="3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3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57" fillId="0" borderId="40" xfId="2" applyNumberFormat="1" applyFont="1" applyFill="1" applyBorder="1" applyAlignment="1" applyProtection="1">
      <alignment horizontal="center" wrapText="1"/>
      <protection locked="0" hidden="1"/>
    </xf>
    <xf numFmtId="10" fontId="57" fillId="0" borderId="28" xfId="2" applyNumberFormat="1" applyFont="1" applyFill="1" applyBorder="1" applyAlignment="1" applyProtection="1">
      <alignment horizontal="center" wrapText="1"/>
      <protection locked="0" hidden="1"/>
    </xf>
    <xf numFmtId="10" fontId="4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4" fillId="0" borderId="35" xfId="1" applyNumberFormat="1" applyFont="1" applyBorder="1" applyAlignment="1" applyProtection="1">
      <alignment horizontal="center" vertical="center" textRotation="90" wrapText="1"/>
      <protection hidden="1"/>
    </xf>
    <xf numFmtId="10" fontId="4" fillId="34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4" fillId="34" borderId="39" xfId="1" applyNumberFormat="1" applyFont="1" applyFill="1" applyBorder="1" applyAlignment="1" applyProtection="1">
      <alignment horizontal="center" vertical="center" textRotation="90" wrapText="1"/>
      <protection hidden="1"/>
    </xf>
    <xf numFmtId="0" fontId="56" fillId="31" borderId="32" xfId="123" applyFont="1" applyFill="1" applyBorder="1" applyAlignment="1">
      <alignment horizontal="center" vertical="center"/>
    </xf>
    <xf numFmtId="0" fontId="56" fillId="31" borderId="27" xfId="123" applyFont="1" applyFill="1" applyBorder="1" applyAlignment="1">
      <alignment horizontal="center" vertical="center"/>
    </xf>
    <xf numFmtId="0" fontId="56" fillId="32" borderId="33" xfId="123" applyFont="1" applyFill="1" applyBorder="1" applyAlignment="1">
      <alignment horizontal="center" vertical="center"/>
    </xf>
    <xf numFmtId="0" fontId="56" fillId="32" borderId="31" xfId="123" applyFont="1" applyFill="1" applyBorder="1" applyAlignment="1">
      <alignment horizontal="center" vertical="center"/>
    </xf>
    <xf numFmtId="0" fontId="56" fillId="33" borderId="34" xfId="123" applyFont="1" applyFill="1" applyBorder="1" applyAlignment="1">
      <alignment horizontal="center" vertical="center" wrapText="1"/>
    </xf>
    <xf numFmtId="0" fontId="56" fillId="33" borderId="30" xfId="123" applyFont="1" applyFill="1" applyBorder="1" applyAlignment="1">
      <alignment horizontal="center" vertical="center" wrapText="1"/>
    </xf>
    <xf numFmtId="0" fontId="56" fillId="28" borderId="32" xfId="123" applyFont="1" applyFill="1" applyBorder="1" applyAlignment="1">
      <alignment horizontal="center" vertical="center" wrapText="1"/>
    </xf>
    <xf numFmtId="0" fontId="56" fillId="28" borderId="27" xfId="123" applyFont="1" applyFill="1" applyBorder="1" applyAlignment="1">
      <alignment horizontal="center" vertical="center" wrapText="1"/>
    </xf>
    <xf numFmtId="0" fontId="8" fillId="5" borderId="14" xfId="1" applyFont="1" applyFill="1" applyBorder="1" applyAlignment="1" applyProtection="1">
      <alignment horizontal="center" vertical="center" wrapText="1" shrinkToFit="1"/>
      <protection hidden="1"/>
    </xf>
    <xf numFmtId="0" fontId="8" fillId="5" borderId="17" xfId="1" applyFont="1" applyFill="1" applyBorder="1" applyAlignment="1" applyProtection="1">
      <alignment horizontal="center" vertical="center" wrapText="1" shrinkToFit="1"/>
      <protection hidden="1"/>
    </xf>
    <xf numFmtId="0" fontId="8" fillId="5" borderId="29" xfId="1" applyFont="1" applyFill="1" applyBorder="1" applyAlignment="1" applyProtection="1">
      <alignment horizontal="center" vertical="center" wrapText="1" shrinkToFit="1"/>
      <protection hidden="1"/>
    </xf>
    <xf numFmtId="0" fontId="56" fillId="29" borderId="32" xfId="123" applyFont="1" applyFill="1" applyBorder="1" applyAlignment="1">
      <alignment horizontal="center" vertical="center"/>
    </xf>
    <xf numFmtId="0" fontId="56" fillId="29" borderId="27" xfId="123" applyFont="1" applyFill="1" applyBorder="1" applyAlignment="1">
      <alignment horizontal="center" vertical="center"/>
    </xf>
    <xf numFmtId="0" fontId="56" fillId="30" borderId="32" xfId="123" applyFont="1" applyFill="1" applyBorder="1" applyAlignment="1">
      <alignment horizontal="center" vertical="center"/>
    </xf>
    <xf numFmtId="0" fontId="56" fillId="30" borderId="27" xfId="123" applyFont="1" applyFill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hidden="1"/>
    </xf>
    <xf numFmtId="0" fontId="7" fillId="0" borderId="17" xfId="1" applyFont="1" applyBorder="1" applyAlignment="1" applyProtection="1">
      <alignment horizontal="center" vertical="center" wrapText="1"/>
      <protection hidden="1"/>
    </xf>
    <xf numFmtId="0" fontId="7" fillId="0" borderId="29" xfId="1" applyFont="1" applyBorder="1" applyAlignment="1" applyProtection="1">
      <alignment horizontal="center" vertical="center" wrapText="1"/>
      <protection hidden="1"/>
    </xf>
    <xf numFmtId="0" fontId="4" fillId="3" borderId="38" xfId="1" applyFont="1" applyFill="1" applyBorder="1" applyAlignment="1" applyProtection="1">
      <alignment horizontal="center" vertical="center" textRotation="90" wrapText="1"/>
      <protection hidden="1"/>
    </xf>
    <xf numFmtId="0" fontId="4" fillId="3" borderId="35" xfId="1" applyFont="1" applyFill="1" applyBorder="1" applyAlignment="1" applyProtection="1">
      <alignment horizontal="center" vertical="center" textRotation="90" wrapText="1"/>
      <protection hidden="1"/>
    </xf>
    <xf numFmtId="16" fontId="4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</cellXfs>
  <cellStyles count="196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Comma 3 2" xfId="193" xr:uid="{AE6EC565-46B0-41AF-9E5D-5496DAE43344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Normal 6 2" xfId="194" xr:uid="{407CBA01-2C49-4EFC-BC87-B0055E9EBBB4}"/>
    <cellStyle name="Percent 2" xfId="127" xr:uid="{00000000-0005-0000-0000-00007E000000}"/>
    <cellStyle name="Percent 3" xfId="128" xr:uid="{00000000-0005-0000-0000-00007F000000}"/>
    <cellStyle name="Percent 4" xfId="129" xr:uid="{00000000-0005-0000-0000-000080000000}"/>
    <cellStyle name="Percent 4 2" xfId="195" xr:uid="{A0D2DF7C-4E4A-4774-A2EB-C8D9D32778FE}"/>
    <cellStyle name="アクセント 1" xfId="130" xr:uid="{00000000-0005-0000-0000-000081000000}"/>
    <cellStyle name="アクセント 2" xfId="131" xr:uid="{00000000-0005-0000-0000-000082000000}"/>
    <cellStyle name="アクセント 3" xfId="132" xr:uid="{00000000-0005-0000-0000-000083000000}"/>
    <cellStyle name="アクセント 4" xfId="133" xr:uid="{00000000-0005-0000-0000-000084000000}"/>
    <cellStyle name="アクセント 5" xfId="134" xr:uid="{00000000-0005-0000-0000-000085000000}"/>
    <cellStyle name="アクセント 6" xfId="135" xr:uid="{00000000-0005-0000-0000-000086000000}"/>
    <cellStyle name="タイトル" xfId="136" xr:uid="{00000000-0005-0000-0000-000087000000}"/>
    <cellStyle name="チェック セル" xfId="137" xr:uid="{00000000-0005-0000-0000-000088000000}"/>
    <cellStyle name="どちらでもない" xfId="138" xr:uid="{00000000-0005-0000-0000-000089000000}"/>
    <cellStyle name="パーセント 2" xfId="139" xr:uid="{00000000-0005-0000-0000-00008A000000}"/>
    <cellStyle name="メモ" xfId="140" xr:uid="{00000000-0005-0000-0000-00008B000000}"/>
    <cellStyle name="リンク セル" xfId="141" xr:uid="{00000000-0005-0000-0000-00008C000000}"/>
    <cellStyle name="入力" xfId="142" xr:uid="{00000000-0005-0000-0000-00008D000000}"/>
    <cellStyle name="出力" xfId="143" xr:uid="{00000000-0005-0000-0000-00008E000000}"/>
    <cellStyle name="好" xfId="144" xr:uid="{00000000-0005-0000-0000-00008F000000}"/>
    <cellStyle name="差" xfId="145" xr:uid="{00000000-0005-0000-0000-000090000000}"/>
    <cellStyle name="常规 2" xfId="146" xr:uid="{00000000-0005-0000-0000-000091000000}"/>
    <cellStyle name="常规_※㈱ユニクロ　朴様採寸表" xfId="147" xr:uid="{00000000-0005-0000-0000-000092000000}"/>
    <cellStyle name="强调文字颜色 1" xfId="148" xr:uid="{00000000-0005-0000-0000-000093000000}"/>
    <cellStyle name="强调文字颜色 2" xfId="149" xr:uid="{00000000-0005-0000-0000-000094000000}"/>
    <cellStyle name="强调文字颜色 3" xfId="150" xr:uid="{00000000-0005-0000-0000-000095000000}"/>
    <cellStyle name="强调文字颜色 4" xfId="151" xr:uid="{00000000-0005-0000-0000-000096000000}"/>
    <cellStyle name="强调文字颜色 5" xfId="152" xr:uid="{00000000-0005-0000-0000-000097000000}"/>
    <cellStyle name="强调文字颜色 6" xfId="153" xr:uid="{00000000-0005-0000-0000-000098000000}"/>
    <cellStyle name="悪い" xfId="154" xr:uid="{00000000-0005-0000-0000-000099000000}"/>
    <cellStyle name="标题" xfId="155" xr:uid="{00000000-0005-0000-0000-00009A000000}"/>
    <cellStyle name="标题 1" xfId="156" xr:uid="{00000000-0005-0000-0000-00009B000000}"/>
    <cellStyle name="标题 2" xfId="157" xr:uid="{00000000-0005-0000-0000-00009C000000}"/>
    <cellStyle name="标题 3" xfId="158" xr:uid="{00000000-0005-0000-0000-00009D000000}"/>
    <cellStyle name="标题 4" xfId="159" xr:uid="{00000000-0005-0000-0000-00009E000000}"/>
    <cellStyle name="检查单元格" xfId="160" xr:uid="{00000000-0005-0000-0000-00009F000000}"/>
    <cellStyle name="標準 10" xfId="161" xr:uid="{00000000-0005-0000-0000-0000A0000000}"/>
    <cellStyle name="標準 11" xfId="162" xr:uid="{00000000-0005-0000-0000-0000A1000000}"/>
    <cellStyle name="標準 12" xfId="163" xr:uid="{00000000-0005-0000-0000-0000A2000000}"/>
    <cellStyle name="標準 12 2" xfId="164" xr:uid="{00000000-0005-0000-0000-0000A3000000}"/>
    <cellStyle name="標準 2" xfId="165" xr:uid="{00000000-0005-0000-0000-0000A4000000}"/>
    <cellStyle name="標準 2 2" xfId="166" xr:uid="{00000000-0005-0000-0000-0000A5000000}"/>
    <cellStyle name="標準 3" xfId="167" xr:uid="{00000000-0005-0000-0000-0000A6000000}"/>
    <cellStyle name="標準 4" xfId="168" xr:uid="{00000000-0005-0000-0000-0000A7000000}"/>
    <cellStyle name="標準 5" xfId="169" xr:uid="{00000000-0005-0000-0000-0000A8000000}"/>
    <cellStyle name="標準 6" xfId="170" xr:uid="{00000000-0005-0000-0000-0000A9000000}"/>
    <cellStyle name="標準 7" xfId="171" xr:uid="{00000000-0005-0000-0000-0000AA000000}"/>
    <cellStyle name="標準 8" xfId="172" xr:uid="{00000000-0005-0000-0000-0000AB000000}"/>
    <cellStyle name="標準 9" xfId="173" xr:uid="{00000000-0005-0000-0000-0000AC000000}"/>
    <cellStyle name="標準_Sheet1" xfId="1" xr:uid="{00000000-0005-0000-0000-0000AD000000}"/>
    <cellStyle name="汇总" xfId="174" xr:uid="{00000000-0005-0000-0000-0000AE000000}"/>
    <cellStyle name="注释" xfId="175" xr:uid="{00000000-0005-0000-0000-0000AF000000}"/>
    <cellStyle name="百分比 2" xfId="176" xr:uid="{00000000-0005-0000-0000-0000B0000000}"/>
    <cellStyle name="良い" xfId="177" xr:uid="{00000000-0005-0000-0000-0000B1000000}"/>
    <cellStyle name="見出し 1" xfId="178" xr:uid="{00000000-0005-0000-0000-0000B2000000}"/>
    <cellStyle name="見出し 2" xfId="179" xr:uid="{00000000-0005-0000-0000-0000B3000000}"/>
    <cellStyle name="見出し 3" xfId="180" xr:uid="{00000000-0005-0000-0000-0000B4000000}"/>
    <cellStyle name="見出し 4" xfId="181" xr:uid="{00000000-0005-0000-0000-0000B5000000}"/>
    <cellStyle name="解释性文本" xfId="182" xr:uid="{00000000-0005-0000-0000-0000B6000000}"/>
    <cellStyle name="計算" xfId="183" xr:uid="{00000000-0005-0000-0000-0000B7000000}"/>
    <cellStyle name="説明文" xfId="184" xr:uid="{00000000-0005-0000-0000-0000B8000000}"/>
    <cellStyle name="警告文" xfId="185" xr:uid="{00000000-0005-0000-0000-0000B9000000}"/>
    <cellStyle name="警告文本" xfId="186" xr:uid="{00000000-0005-0000-0000-0000BA000000}"/>
    <cellStyle name="计算" xfId="187" xr:uid="{00000000-0005-0000-0000-0000BB000000}"/>
    <cellStyle name="输入" xfId="188" xr:uid="{00000000-0005-0000-0000-0000BC000000}"/>
    <cellStyle name="输出" xfId="189" xr:uid="{00000000-0005-0000-0000-0000BD000000}"/>
    <cellStyle name="适中" xfId="190" xr:uid="{00000000-0005-0000-0000-0000BE000000}"/>
    <cellStyle name="链接单元格" xfId="191" xr:uid="{00000000-0005-0000-0000-0000BF000000}"/>
    <cellStyle name="集計" xfId="192" xr:uid="{00000000-0005-0000-0000-0000C0000000}"/>
  </cellStyles>
  <dxfs count="0"/>
  <tableStyles count="0" defaultTableStyle="TableStyleMedium2" defaultPivotStyle="PivotStyleLight16"/>
  <colors>
    <mruColors>
      <color rgb="FFCCFFCC"/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Factory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5771551883479354E-2"/>
          <c:y val="9.5063925531208585E-2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Final!$Z$2:$CY$2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1.Hue difference</c:v>
                </c:pt>
                <c:pt idx="13">
                  <c:v>2.Unevenness</c:v>
                </c:pt>
                <c:pt idx="14">
                  <c:v>3.Pieces not symmetrical</c:v>
                </c:pt>
                <c:pt idx="15">
                  <c:v>4.Deformation (Defect in shape)</c:v>
                </c:pt>
                <c:pt idx="16">
                  <c:v>5.Tight or loose part of fabric</c:v>
                </c:pt>
                <c:pt idx="17">
                  <c:v>6.Uneven seam</c:v>
                </c:pt>
                <c:pt idx="18">
                  <c:v>7.Spiralty, wrinkle</c:v>
                </c:pt>
                <c:pt idx="19">
                  <c:v>8.PUCKERING</c:v>
                </c:pt>
                <c:pt idx="20">
                  <c:v>9.Corrugation</c:v>
                </c:pt>
                <c:pt idx="21">
                  <c:v>10.Thread breakage</c:v>
                </c:pt>
                <c:pt idx="22">
                  <c:v>11.Lack of elasticity</c:v>
                </c:pt>
                <c:pt idx="23">
                  <c:v>12.Incorrect stitching number</c:v>
                </c:pt>
                <c:pt idx="24">
                  <c:v>13.Stitches out of seam allowance</c:v>
                </c:pt>
                <c:pt idx="25">
                  <c:v>14.Missing stitch</c:v>
                </c:pt>
                <c:pt idx="26">
                  <c:v>15.Lack of seam allowance</c:v>
                </c:pt>
                <c:pt idx="27">
                  <c:v>16.Unexpected tuck</c:v>
                </c:pt>
                <c:pt idx="28">
                  <c:v>17.Unexpected fullness</c:v>
                </c:pt>
                <c:pt idx="29">
                  <c:v>18.Needle mark</c:v>
                </c:pt>
                <c:pt idx="30">
                  <c:v>19.Sewing defects caused by machine</c:v>
                </c:pt>
                <c:pt idx="31">
                  <c:v>20.Incorrect size of lining</c:v>
                </c:pt>
                <c:pt idx="32">
                  <c:v>21.Skipped stitch</c:v>
                </c:pt>
                <c:pt idx="33">
                  <c:v>22.Sewing involving unexpected parts</c:v>
                </c:pt>
                <c:pt idx="34">
                  <c:v>23.Missing sewing process</c:v>
                </c:pt>
                <c:pt idx="35">
                  <c:v>24.Mislocated bar-tack</c:v>
                </c:pt>
                <c:pt idx="36">
                  <c:v>25.Incorrect thread tension</c:v>
                </c:pt>
                <c:pt idx="37">
                  <c:v>26.Falling off of a thread</c:v>
                </c:pt>
                <c:pt idx="38">
                  <c:v>27.Lack of reverse stitch</c:v>
                </c:pt>
                <c:pt idx="39">
                  <c:v>28.Incorrect easing</c:v>
                </c:pt>
                <c:pt idx="40">
                  <c:v>29.Piecing defect</c:v>
                </c:pt>
                <c:pt idx="41">
                  <c:v>30.Incorrect lapped seam</c:v>
                </c:pt>
                <c:pt idx="42">
                  <c:v>31.Incorrect trimming</c:v>
                </c:pt>
                <c:pt idx="43">
                  <c:v>32.Lack of strength</c:v>
                </c:pt>
                <c:pt idx="44">
                  <c:v>33.Incorrect buttonhole sewing</c:v>
                </c:pt>
                <c:pt idx="45">
                  <c:v>34.Incorrect brand label sewing</c:v>
                </c:pt>
                <c:pt idx="46">
                  <c:v>35.Sewing slip</c:v>
                </c:pt>
                <c:pt idx="47">
                  <c:v>36.Incorrect position</c:v>
                </c:pt>
                <c:pt idx="48">
                  <c:v>37.Incorrect pattern matching</c:v>
                </c:pt>
                <c:pt idx="49">
                  <c:v>38.Peel off glue/delamination</c:v>
                </c:pt>
                <c:pt idx="50">
                  <c:v>39.Visible/see through glue</c:v>
                </c:pt>
                <c:pt idx="51">
                  <c:v>40.Bonding seam uneven/wavy</c:v>
                </c:pt>
                <c:pt idx="52">
                  <c:v>41.Bonding seam not catch up/bad selvaged</c:v>
                </c:pt>
                <c:pt idx="53">
                  <c:v>42.Stick glue/leaking glue</c:v>
                </c:pt>
                <c:pt idx="54">
                  <c:v>43.Mold Shape</c:v>
                </c:pt>
                <c:pt idx="55">
                  <c:v>44.Poor application glue position</c:v>
                </c:pt>
                <c:pt idx="56">
                  <c:v>45.Yarn severance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Final!$Z$4:$CY$4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8-44C4-A18D-C691AE5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7264"/>
        <c:axId val="77869056"/>
      </c:barChart>
      <c:catAx>
        <c:axId val="778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9056"/>
        <c:crosses val="autoZero"/>
        <c:auto val="1"/>
        <c:lblAlgn val="ctr"/>
        <c:lblOffset val="100"/>
        <c:noMultiLvlLbl val="0"/>
      </c:catAx>
      <c:valAx>
        <c:axId val="778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7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Final!$O$5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Final!$M$6:$M$10</c:f>
              <c:numCache>
                <c:formatCode>General</c:formatCode>
                <c:ptCount val="5"/>
              </c:numCache>
            </c:numRef>
          </c:cat>
          <c:val>
            <c:numRef>
              <c:f>Final!$O$6:$O$10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0AA-44A9-B16F-7D12429F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235900039880174"/>
          <c:w val="0.51748807208815495"/>
          <c:h val="0.71062018307782193"/>
        </c:manualLayout>
      </c:layout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5603</xdr:colOff>
      <xdr:row>3</xdr:row>
      <xdr:rowOff>168088</xdr:rowOff>
    </xdr:from>
    <xdr:to>
      <xdr:col>103</xdr:col>
      <xdr:colOff>0</xdr:colOff>
      <xdr:row>10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5EEC9-C5D6-4E73-B9A0-5375EA53D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4</xdr:row>
      <xdr:rowOff>0</xdr:rowOff>
    </xdr:from>
    <xdr:to>
      <xdr:col>8</xdr:col>
      <xdr:colOff>605117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D4141-EF05-460F-B90E-FC6D3F556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1BF4-61E3-4934-A9D7-C6CA50AA10E4}">
  <sheetPr>
    <tabColor rgb="FF00B050"/>
    <pageSetUpPr fitToPage="1"/>
  </sheetPr>
  <dimension ref="A1:FN96"/>
  <sheetViews>
    <sheetView tabSelected="1" view="pageBreakPreview" zoomScale="70" zoomScaleNormal="85" zoomScaleSheetLayoutView="70" workbookViewId="0">
      <pane ySplit="10" topLeftCell="A11" activePane="bottomLeft" state="frozen"/>
      <selection pane="bottomLeft" activeCell="E17" sqref="E17"/>
    </sheetView>
  </sheetViews>
  <sheetFormatPr defaultColWidth="9.140625" defaultRowHeight="12"/>
  <cols>
    <col min="1" max="1" width="26" style="7" customWidth="1"/>
    <col min="2" max="2" width="8.5703125" style="7" bestFit="1" customWidth="1"/>
    <col min="3" max="3" width="23.42578125" style="7" bestFit="1" customWidth="1"/>
    <col min="4" max="5" width="11.140625" style="7" bestFit="1" customWidth="1"/>
    <col min="6" max="6" width="7.7109375" style="39" customWidth="1"/>
    <col min="7" max="8" width="11.140625" style="7" bestFit="1" customWidth="1"/>
    <col min="9" max="9" width="9.28515625" style="8" customWidth="1"/>
    <col min="10" max="10" width="3.7109375" style="7" customWidth="1"/>
    <col min="11" max="11" width="20.42578125" style="7" bestFit="1" customWidth="1"/>
    <col min="12" max="12" width="26.42578125" style="7" customWidth="1"/>
    <col min="13" max="13" width="27.7109375" style="7" customWidth="1"/>
    <col min="14" max="14" width="20.140625" style="7" bestFit="1" customWidth="1"/>
    <col min="15" max="17" width="10.7109375" style="7" customWidth="1"/>
    <col min="18" max="18" width="9" style="7" bestFit="1" customWidth="1"/>
    <col min="19" max="19" width="14.5703125" style="7" bestFit="1" customWidth="1"/>
    <col min="20" max="20" width="7.7109375" style="7" bestFit="1" customWidth="1"/>
    <col min="21" max="21" width="9" style="7" customWidth="1"/>
    <col min="22" max="22" width="3.42578125" style="7" bestFit="1" customWidth="1"/>
    <col min="23" max="23" width="4" style="7" bestFit="1" customWidth="1"/>
    <col min="24" max="24" width="8.85546875" style="7" bestFit="1" customWidth="1"/>
    <col min="25" max="25" width="3.28515625" style="7" bestFit="1" customWidth="1"/>
    <col min="26" max="34" width="5.140625" style="42" customWidth="1"/>
    <col min="35" max="35" width="7" style="7" bestFit="1" customWidth="1"/>
    <col min="36" max="36" width="6.5703125" style="7" bestFit="1" customWidth="1"/>
    <col min="37" max="40" width="6" style="7" bestFit="1" customWidth="1"/>
    <col min="41" max="83" width="6" style="7" customWidth="1"/>
    <col min="84" max="84" width="6" style="7" bestFit="1" customWidth="1"/>
    <col min="85" max="90" width="6" style="7" customWidth="1"/>
    <col min="91" max="92" width="6" style="7" bestFit="1" customWidth="1"/>
    <col min="93" max="98" width="6" style="7" customWidth="1"/>
    <col min="99" max="99" width="6" style="7" bestFit="1" customWidth="1"/>
    <col min="100" max="101" width="7" style="7" bestFit="1" customWidth="1"/>
    <col min="102" max="103" width="6" style="7" bestFit="1" customWidth="1"/>
    <col min="104" max="104" width="7" style="7" bestFit="1" customWidth="1"/>
    <col min="105" max="16384" width="9.140625" style="9"/>
  </cols>
  <sheetData>
    <row r="1" spans="1:169" s="1" customFormat="1" ht="28.5" customHeight="1" thickBot="1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3"/>
      <c r="X1" s="80" t="s">
        <v>1</v>
      </c>
      <c r="Y1" s="81"/>
      <c r="Z1" s="72" t="s">
        <v>112</v>
      </c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4"/>
      <c r="AL1" s="75" t="s">
        <v>113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7"/>
      <c r="CE1" s="72" t="s">
        <v>88</v>
      </c>
      <c r="CF1" s="73"/>
      <c r="CG1" s="73"/>
      <c r="CH1" s="73"/>
      <c r="CI1" s="73"/>
      <c r="CJ1" s="73"/>
      <c r="CK1" s="73"/>
      <c r="CL1" s="73"/>
      <c r="CM1" s="74"/>
      <c r="CN1" s="72" t="s">
        <v>98</v>
      </c>
      <c r="CO1" s="73"/>
      <c r="CP1" s="73"/>
      <c r="CQ1" s="73"/>
      <c r="CR1" s="73"/>
      <c r="CS1" s="74"/>
      <c r="CT1" s="72" t="s">
        <v>105</v>
      </c>
      <c r="CU1" s="73"/>
      <c r="CV1" s="74"/>
      <c r="CW1" s="72" t="s">
        <v>114</v>
      </c>
      <c r="CX1" s="73"/>
      <c r="CY1" s="74"/>
    </row>
    <row r="2" spans="1:169" s="1" customFormat="1" ht="140.44999999999999" customHeight="1" thickBot="1">
      <c r="A2" s="78" t="s">
        <v>2</v>
      </c>
      <c r="B2" s="78" t="s">
        <v>3</v>
      </c>
      <c r="C2" s="78" t="s">
        <v>4</v>
      </c>
      <c r="D2" s="78" t="s">
        <v>22</v>
      </c>
      <c r="E2" s="78" t="s">
        <v>23</v>
      </c>
      <c r="F2" s="78" t="s">
        <v>7</v>
      </c>
      <c r="G2" s="78" t="s">
        <v>5</v>
      </c>
      <c r="H2" s="78" t="s">
        <v>6</v>
      </c>
      <c r="I2" s="78" t="s">
        <v>7</v>
      </c>
      <c r="J2" s="78" t="s">
        <v>8</v>
      </c>
      <c r="K2" s="78" t="s">
        <v>25</v>
      </c>
      <c r="L2" s="78" t="s">
        <v>9</v>
      </c>
      <c r="M2" s="78" t="s">
        <v>10</v>
      </c>
      <c r="N2" s="78" t="s">
        <v>11</v>
      </c>
      <c r="O2" s="78" t="s">
        <v>12</v>
      </c>
      <c r="P2" s="106" t="s">
        <v>109</v>
      </c>
      <c r="Q2" s="54" t="s">
        <v>111</v>
      </c>
      <c r="R2" s="78" t="s">
        <v>110</v>
      </c>
      <c r="S2" s="78" t="s">
        <v>13</v>
      </c>
      <c r="T2" s="78" t="s">
        <v>24</v>
      </c>
      <c r="U2" s="78" t="s">
        <v>14</v>
      </c>
      <c r="V2" s="104" t="s">
        <v>15</v>
      </c>
      <c r="W2" s="70" t="s">
        <v>31</v>
      </c>
      <c r="X2" s="82" t="s">
        <v>16</v>
      </c>
      <c r="Y2" s="84" t="s">
        <v>17</v>
      </c>
      <c r="Z2" s="65" t="s">
        <v>32</v>
      </c>
      <c r="AA2" s="66" t="s">
        <v>33</v>
      </c>
      <c r="AB2" s="66" t="s">
        <v>34</v>
      </c>
      <c r="AC2" s="66" t="s">
        <v>35</v>
      </c>
      <c r="AD2" s="66" t="s">
        <v>36</v>
      </c>
      <c r="AE2" s="67" t="s">
        <v>37</v>
      </c>
      <c r="AF2" s="67" t="s">
        <v>38</v>
      </c>
      <c r="AG2" s="67" t="s">
        <v>39</v>
      </c>
      <c r="AH2" s="67" t="s">
        <v>40</v>
      </c>
      <c r="AI2" s="67" t="s">
        <v>41</v>
      </c>
      <c r="AJ2" s="67" t="s">
        <v>42</v>
      </c>
      <c r="AK2" s="67" t="s">
        <v>43</v>
      </c>
      <c r="AL2" s="65" t="s">
        <v>44</v>
      </c>
      <c r="AM2" s="66" t="s">
        <v>45</v>
      </c>
      <c r="AN2" s="66" t="s">
        <v>46</v>
      </c>
      <c r="AO2" s="66" t="s">
        <v>47</v>
      </c>
      <c r="AP2" s="66" t="s">
        <v>48</v>
      </c>
      <c r="AQ2" s="66" t="s">
        <v>49</v>
      </c>
      <c r="AR2" s="66" t="s">
        <v>50</v>
      </c>
      <c r="AS2" s="66" t="s">
        <v>51</v>
      </c>
      <c r="AT2" s="66" t="s">
        <v>52</v>
      </c>
      <c r="AU2" s="66" t="s">
        <v>53</v>
      </c>
      <c r="AV2" s="66" t="s">
        <v>54</v>
      </c>
      <c r="AW2" s="66" t="s">
        <v>55</v>
      </c>
      <c r="AX2" s="66" t="s">
        <v>56</v>
      </c>
      <c r="AY2" s="66" t="s">
        <v>57</v>
      </c>
      <c r="AZ2" s="66" t="s">
        <v>58</v>
      </c>
      <c r="BA2" s="66" t="s">
        <v>59</v>
      </c>
      <c r="BB2" s="66" t="s">
        <v>60</v>
      </c>
      <c r="BC2" s="66" t="s">
        <v>61</v>
      </c>
      <c r="BD2" s="66" t="s">
        <v>62</v>
      </c>
      <c r="BE2" s="66" t="s">
        <v>63</v>
      </c>
      <c r="BF2" s="66" t="s">
        <v>64</v>
      </c>
      <c r="BG2" s="66" t="s">
        <v>65</v>
      </c>
      <c r="BH2" s="66" t="s">
        <v>66</v>
      </c>
      <c r="BI2" s="66" t="s">
        <v>67</v>
      </c>
      <c r="BJ2" s="66" t="s">
        <v>68</v>
      </c>
      <c r="BK2" s="66" t="s">
        <v>69</v>
      </c>
      <c r="BL2" s="66" t="s">
        <v>70</v>
      </c>
      <c r="BM2" s="66" t="s">
        <v>71</v>
      </c>
      <c r="BN2" s="66" t="s">
        <v>72</v>
      </c>
      <c r="BO2" s="66" t="s">
        <v>73</v>
      </c>
      <c r="BP2" s="66" t="s">
        <v>74</v>
      </c>
      <c r="BQ2" s="66" t="s">
        <v>75</v>
      </c>
      <c r="BR2" s="66" t="s">
        <v>76</v>
      </c>
      <c r="BS2" s="66" t="s">
        <v>77</v>
      </c>
      <c r="BT2" s="66" t="s">
        <v>78</v>
      </c>
      <c r="BU2" s="66" t="s">
        <v>79</v>
      </c>
      <c r="BV2" s="66" t="s">
        <v>80</v>
      </c>
      <c r="BW2" s="66" t="s">
        <v>81</v>
      </c>
      <c r="BX2" s="66" t="s">
        <v>82</v>
      </c>
      <c r="BY2" s="66" t="s">
        <v>83</v>
      </c>
      <c r="BZ2" s="66" t="s">
        <v>84</v>
      </c>
      <c r="CA2" s="66" t="s">
        <v>85</v>
      </c>
      <c r="CB2" s="66" t="s">
        <v>86</v>
      </c>
      <c r="CC2" s="66" t="s">
        <v>87</v>
      </c>
      <c r="CD2" s="68" t="s">
        <v>115</v>
      </c>
      <c r="CE2" s="69" t="s">
        <v>89</v>
      </c>
      <c r="CF2" s="55" t="s">
        <v>90</v>
      </c>
      <c r="CG2" s="55" t="s">
        <v>91</v>
      </c>
      <c r="CH2" s="55" t="s">
        <v>92</v>
      </c>
      <c r="CI2" s="55" t="s">
        <v>93</v>
      </c>
      <c r="CJ2" s="55" t="s">
        <v>94</v>
      </c>
      <c r="CK2" s="55" t="s">
        <v>95</v>
      </c>
      <c r="CL2" s="55" t="s">
        <v>96</v>
      </c>
      <c r="CM2" s="56" t="s">
        <v>97</v>
      </c>
      <c r="CN2" s="57" t="s">
        <v>99</v>
      </c>
      <c r="CO2" s="58" t="s">
        <v>100</v>
      </c>
      <c r="CP2" s="59" t="s">
        <v>101</v>
      </c>
      <c r="CQ2" s="59" t="s">
        <v>102</v>
      </c>
      <c r="CR2" s="59" t="s">
        <v>103</v>
      </c>
      <c r="CS2" s="60" t="s">
        <v>104</v>
      </c>
      <c r="CT2" s="61" t="s">
        <v>106</v>
      </c>
      <c r="CU2" s="62" t="s">
        <v>107</v>
      </c>
      <c r="CV2" s="63" t="s">
        <v>108</v>
      </c>
      <c r="CW2" s="64" t="s">
        <v>26</v>
      </c>
      <c r="CX2" s="62" t="s">
        <v>27</v>
      </c>
      <c r="CY2" s="63" t="s">
        <v>28</v>
      </c>
    </row>
    <row r="3" spans="1:169" s="1" customFormat="1" ht="21" hidden="1" customHeight="1" thickBo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107"/>
      <c r="Q3" s="53"/>
      <c r="R3" s="79"/>
      <c r="S3" s="79"/>
      <c r="T3" s="79"/>
      <c r="U3" s="79"/>
      <c r="V3" s="105"/>
      <c r="W3" s="71"/>
      <c r="X3" s="83"/>
      <c r="Y3" s="85"/>
      <c r="Z3" s="45" t="e">
        <f>Z4/$W$4</f>
        <v>#DIV/0!</v>
      </c>
      <c r="AA3" s="45" t="e">
        <f>AA4/$W$4</f>
        <v>#DIV/0!</v>
      </c>
      <c r="AB3" s="45" t="e">
        <f t="shared" ref="AB3:AG3" si="0">AB4/$W$4</f>
        <v>#DIV/0!</v>
      </c>
      <c r="AC3" s="45" t="e">
        <f t="shared" si="0"/>
        <v>#DIV/0!</v>
      </c>
      <c r="AD3" s="45" t="e">
        <f t="shared" si="0"/>
        <v>#DIV/0!</v>
      </c>
      <c r="AE3" s="45" t="e">
        <f t="shared" si="0"/>
        <v>#DIV/0!</v>
      </c>
      <c r="AF3" s="45" t="e">
        <f t="shared" si="0"/>
        <v>#DIV/0!</v>
      </c>
      <c r="AG3" s="45" t="e">
        <f t="shared" si="0"/>
        <v>#DIV/0!</v>
      </c>
      <c r="AH3" s="45" t="e">
        <f t="shared" ref="AH3" si="1">AH4/$W$4</f>
        <v>#DIV/0!</v>
      </c>
      <c r="AI3" s="45" t="e">
        <f t="shared" ref="AI3" si="2">AI4/$W$4</f>
        <v>#DIV/0!</v>
      </c>
      <c r="AJ3" s="45" t="e">
        <f t="shared" ref="AJ3" si="3">AJ4/$W$4</f>
        <v>#DIV/0!</v>
      </c>
      <c r="AK3" s="45" t="e">
        <f t="shared" ref="AK3" si="4">AK4/$W$4</f>
        <v>#DIV/0!</v>
      </c>
      <c r="AL3" s="45" t="e">
        <f t="shared" ref="AL3" si="5">AL4/$W$4</f>
        <v>#DIV/0!</v>
      </c>
      <c r="AM3" s="45" t="e">
        <f t="shared" ref="AM3" si="6">AM4/$W$4</f>
        <v>#DIV/0!</v>
      </c>
      <c r="AN3" s="45" t="e">
        <f t="shared" ref="AN3" si="7">AN4/$W$4</f>
        <v>#DIV/0!</v>
      </c>
      <c r="AO3" s="45" t="e">
        <f t="shared" ref="AO3" si="8">AO4/$W$4</f>
        <v>#DIV/0!</v>
      </c>
      <c r="AP3" s="45" t="e">
        <f t="shared" ref="AP3" si="9">AP4/$W$4</f>
        <v>#DIV/0!</v>
      </c>
      <c r="AQ3" s="45" t="e">
        <f t="shared" ref="AQ3" si="10">AQ4/$W$4</f>
        <v>#DIV/0!</v>
      </c>
      <c r="AR3" s="45" t="e">
        <f t="shared" ref="AR3" si="11">AR4/$W$4</f>
        <v>#DIV/0!</v>
      </c>
      <c r="AS3" s="45" t="e">
        <f t="shared" ref="AS3" si="12">AS4/$W$4</f>
        <v>#DIV/0!</v>
      </c>
      <c r="AT3" s="45" t="e">
        <f t="shared" ref="AT3" si="13">AT4/$W$4</f>
        <v>#DIV/0!</v>
      </c>
      <c r="AU3" s="45" t="e">
        <f t="shared" ref="AU3" si="14">AU4/$W$4</f>
        <v>#DIV/0!</v>
      </c>
      <c r="AV3" s="45" t="e">
        <f t="shared" ref="AV3" si="15">AV4/$W$4</f>
        <v>#DIV/0!</v>
      </c>
      <c r="AW3" s="45" t="e">
        <f t="shared" ref="AW3" si="16">AW4/$W$4</f>
        <v>#DIV/0!</v>
      </c>
      <c r="AX3" s="45" t="e">
        <f t="shared" ref="AX3" si="17">AX4/$W$4</f>
        <v>#DIV/0!</v>
      </c>
      <c r="AY3" s="45" t="e">
        <f t="shared" ref="AY3" si="18">AY4/$W$4</f>
        <v>#DIV/0!</v>
      </c>
      <c r="AZ3" s="45" t="e">
        <f t="shared" ref="AZ3" si="19">AZ4/$W$4</f>
        <v>#DIV/0!</v>
      </c>
      <c r="BA3" s="45" t="e">
        <f t="shared" ref="BA3" si="20">BA4/$W$4</f>
        <v>#DIV/0!</v>
      </c>
      <c r="BB3" s="45" t="e">
        <f t="shared" ref="BB3" si="21">BB4/$W$4</f>
        <v>#DIV/0!</v>
      </c>
      <c r="BC3" s="45" t="e">
        <f t="shared" ref="BC3" si="22">BC4/$W$4</f>
        <v>#DIV/0!</v>
      </c>
      <c r="BD3" s="45" t="e">
        <f t="shared" ref="BD3" si="23">BD4/$W$4</f>
        <v>#DIV/0!</v>
      </c>
      <c r="BE3" s="45" t="e">
        <f t="shared" ref="BE3" si="24">BE4/$W$4</f>
        <v>#DIV/0!</v>
      </c>
      <c r="BF3" s="45" t="e">
        <f t="shared" ref="BF3" si="25">BF4/$W$4</f>
        <v>#DIV/0!</v>
      </c>
      <c r="BG3" s="45" t="e">
        <f t="shared" ref="BG3" si="26">BG4/$W$4</f>
        <v>#DIV/0!</v>
      </c>
      <c r="BH3" s="45" t="e">
        <f t="shared" ref="BH3" si="27">BH4/$W$4</f>
        <v>#DIV/0!</v>
      </c>
      <c r="BI3" s="45" t="e">
        <f t="shared" ref="BI3" si="28">BI4/$W$4</f>
        <v>#DIV/0!</v>
      </c>
      <c r="BJ3" s="45" t="e">
        <f t="shared" ref="BJ3" si="29">BJ4/$W$4</f>
        <v>#DIV/0!</v>
      </c>
      <c r="BK3" s="45" t="e">
        <f t="shared" ref="BK3" si="30">BK4/$W$4</f>
        <v>#DIV/0!</v>
      </c>
      <c r="BL3" s="45" t="e">
        <f t="shared" ref="BL3" si="31">BL4/$W$4</f>
        <v>#DIV/0!</v>
      </c>
      <c r="BM3" s="45" t="e">
        <f t="shared" ref="BM3" si="32">BM4/$W$4</f>
        <v>#DIV/0!</v>
      </c>
      <c r="BN3" s="45" t="e">
        <f t="shared" ref="BN3" si="33">BN4/$W$4</f>
        <v>#DIV/0!</v>
      </c>
      <c r="BO3" s="45" t="e">
        <f t="shared" ref="BO3" si="34">BO4/$W$4</f>
        <v>#DIV/0!</v>
      </c>
      <c r="BP3" s="45" t="e">
        <f t="shared" ref="BP3" si="35">BP4/$W$4</f>
        <v>#DIV/0!</v>
      </c>
      <c r="BQ3" s="45" t="e">
        <f t="shared" ref="BQ3" si="36">BQ4/$W$4</f>
        <v>#DIV/0!</v>
      </c>
      <c r="BR3" s="45" t="e">
        <f t="shared" ref="BR3" si="37">BR4/$W$4</f>
        <v>#DIV/0!</v>
      </c>
      <c r="BS3" s="45" t="e">
        <f t="shared" ref="BS3" si="38">BS4/$W$4</f>
        <v>#DIV/0!</v>
      </c>
      <c r="BT3" s="45" t="e">
        <f t="shared" ref="BT3" si="39">BT4/$W$4</f>
        <v>#DIV/0!</v>
      </c>
      <c r="BU3" s="45" t="e">
        <f t="shared" ref="BU3" si="40">BU4/$W$4</f>
        <v>#DIV/0!</v>
      </c>
      <c r="BV3" s="45" t="e">
        <f t="shared" ref="BV3" si="41">BV4/$W$4</f>
        <v>#DIV/0!</v>
      </c>
      <c r="BW3" s="45" t="e">
        <f t="shared" ref="BW3" si="42">BW4/$W$4</f>
        <v>#DIV/0!</v>
      </c>
      <c r="BX3" s="45" t="e">
        <f t="shared" ref="BX3" si="43">BX4/$W$4</f>
        <v>#DIV/0!</v>
      </c>
      <c r="BY3" s="45" t="e">
        <f t="shared" ref="BY3" si="44">BY4/$W$4</f>
        <v>#DIV/0!</v>
      </c>
      <c r="BZ3" s="45" t="e">
        <f t="shared" ref="BZ3" si="45">BZ4/$W$4</f>
        <v>#DIV/0!</v>
      </c>
      <c r="CA3" s="45" t="e">
        <f t="shared" ref="CA3" si="46">CA4/$W$4</f>
        <v>#DIV/0!</v>
      </c>
      <c r="CB3" s="45" t="e">
        <f t="shared" ref="CB3" si="47">CB4/$W$4</f>
        <v>#DIV/0!</v>
      </c>
      <c r="CC3" s="45" t="e">
        <f t="shared" ref="CC3" si="48">CC4/$W$4</f>
        <v>#DIV/0!</v>
      </c>
      <c r="CD3" s="45" t="e">
        <f t="shared" ref="CD3" si="49">CD4/$W$4</f>
        <v>#DIV/0!</v>
      </c>
      <c r="CE3" s="45" t="e">
        <f t="shared" ref="CE3" si="50">CE4/$W$4</f>
        <v>#DIV/0!</v>
      </c>
      <c r="CF3" s="45" t="e">
        <f t="shared" ref="CF3" si="51">CF4/$W$4</f>
        <v>#DIV/0!</v>
      </c>
      <c r="CG3" s="45" t="e">
        <f t="shared" ref="CG3" si="52">CG4/$W$4</f>
        <v>#DIV/0!</v>
      </c>
      <c r="CH3" s="45" t="e">
        <f t="shared" ref="CH3" si="53">CH4/$W$4</f>
        <v>#DIV/0!</v>
      </c>
      <c r="CI3" s="45" t="e">
        <f t="shared" ref="CI3" si="54">CI4/$W$4</f>
        <v>#DIV/0!</v>
      </c>
      <c r="CJ3" s="45" t="e">
        <f t="shared" ref="CJ3" si="55">CJ4/$W$4</f>
        <v>#DIV/0!</v>
      </c>
      <c r="CK3" s="45" t="e">
        <f t="shared" ref="CK3" si="56">CK4/$W$4</f>
        <v>#DIV/0!</v>
      </c>
      <c r="CL3" s="45" t="e">
        <f t="shared" ref="CL3" si="57">CL4/$W$4</f>
        <v>#DIV/0!</v>
      </c>
      <c r="CM3" s="45" t="e">
        <f t="shared" ref="CM3" si="58">CM4/$W$4</f>
        <v>#DIV/0!</v>
      </c>
      <c r="CN3" s="45" t="e">
        <f t="shared" ref="CN3" si="59">CN4/$W$4</f>
        <v>#DIV/0!</v>
      </c>
      <c r="CO3" s="45" t="e">
        <f t="shared" ref="CO3" si="60">CO4/$W$4</f>
        <v>#DIV/0!</v>
      </c>
      <c r="CP3" s="45" t="e">
        <f t="shared" ref="CP3" si="61">CP4/$W$4</f>
        <v>#DIV/0!</v>
      </c>
      <c r="CQ3" s="45" t="e">
        <f t="shared" ref="CQ3" si="62">CQ4/$W$4</f>
        <v>#DIV/0!</v>
      </c>
      <c r="CR3" s="45" t="e">
        <f t="shared" ref="CR3" si="63">CR4/$W$4</f>
        <v>#DIV/0!</v>
      </c>
      <c r="CS3" s="45" t="e">
        <f t="shared" ref="CS3" si="64">CS4/$W$4</f>
        <v>#DIV/0!</v>
      </c>
      <c r="CT3" s="45" t="e">
        <f t="shared" ref="CT3" si="65">CT4/$W$4</f>
        <v>#DIV/0!</v>
      </c>
      <c r="CU3" s="45" t="e">
        <f t="shared" ref="CU3" si="66">CU4/$W$4</f>
        <v>#DIV/0!</v>
      </c>
      <c r="CV3" s="45" t="e">
        <f t="shared" ref="CV3" si="67">CV4/$W$4</f>
        <v>#DIV/0!</v>
      </c>
      <c r="CW3" s="45" t="e">
        <f t="shared" ref="CW3" si="68">CW4/$W$4</f>
        <v>#DIV/0!</v>
      </c>
      <c r="CX3" s="45" t="e">
        <f t="shared" ref="CX3" si="69">CX4/$W$4</f>
        <v>#DIV/0!</v>
      </c>
      <c r="CY3" s="45" t="e">
        <f t="shared" ref="CY3" si="70">CY4/$W$4</f>
        <v>#DIV/0!</v>
      </c>
    </row>
    <row r="4" spans="1:169" s="1" customFormat="1" ht="15.75" customHeight="1" thickBot="1">
      <c r="A4" s="94" t="s">
        <v>18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6"/>
      <c r="T4" s="40">
        <f>SUM(T12:T1000)</f>
        <v>0</v>
      </c>
      <c r="U4" s="11">
        <f>SUM(U12:U1000)</f>
        <v>0</v>
      </c>
      <c r="V4" s="11"/>
      <c r="W4" s="13">
        <f>SUM(W12:W1000)</f>
        <v>0</v>
      </c>
      <c r="X4" s="12" t="e">
        <f>W4/U4</f>
        <v>#DIV/0!</v>
      </c>
      <c r="Y4" s="12"/>
      <c r="Z4" s="11">
        <f>SUM(Z12:Z1000)</f>
        <v>0</v>
      </c>
      <c r="AA4" s="11">
        <f>SUM(AA12:AA1000)</f>
        <v>0</v>
      </c>
      <c r="AB4" s="11">
        <f t="shared" ref="AB4:CM4" si="71">SUM(AB12:AB1000)</f>
        <v>0</v>
      </c>
      <c r="AC4" s="11">
        <f t="shared" si="71"/>
        <v>0</v>
      </c>
      <c r="AD4" s="11">
        <f t="shared" si="71"/>
        <v>0</v>
      </c>
      <c r="AE4" s="11">
        <f t="shared" si="71"/>
        <v>0</v>
      </c>
      <c r="AF4" s="11">
        <f t="shared" si="71"/>
        <v>0</v>
      </c>
      <c r="AG4" s="11">
        <f t="shared" si="71"/>
        <v>0</v>
      </c>
      <c r="AH4" s="11">
        <f t="shared" si="71"/>
        <v>0</v>
      </c>
      <c r="AI4" s="11">
        <f t="shared" si="71"/>
        <v>0</v>
      </c>
      <c r="AJ4" s="11">
        <f t="shared" si="71"/>
        <v>0</v>
      </c>
      <c r="AK4" s="11">
        <f t="shared" si="71"/>
        <v>0</v>
      </c>
      <c r="AL4" s="11">
        <f t="shared" si="71"/>
        <v>0</v>
      </c>
      <c r="AM4" s="11">
        <f t="shared" si="71"/>
        <v>0</v>
      </c>
      <c r="AN4" s="11">
        <f t="shared" si="71"/>
        <v>0</v>
      </c>
      <c r="AO4" s="11">
        <f t="shared" si="71"/>
        <v>0</v>
      </c>
      <c r="AP4" s="11">
        <f t="shared" si="71"/>
        <v>0</v>
      </c>
      <c r="AQ4" s="11">
        <f t="shared" si="71"/>
        <v>0</v>
      </c>
      <c r="AR4" s="11">
        <f t="shared" si="71"/>
        <v>0</v>
      </c>
      <c r="AS4" s="11">
        <f t="shared" si="71"/>
        <v>0</v>
      </c>
      <c r="AT4" s="11">
        <f t="shared" si="71"/>
        <v>0</v>
      </c>
      <c r="AU4" s="11">
        <f t="shared" si="71"/>
        <v>0</v>
      </c>
      <c r="AV4" s="11">
        <f t="shared" si="71"/>
        <v>0</v>
      </c>
      <c r="AW4" s="11">
        <f t="shared" si="71"/>
        <v>0</v>
      </c>
      <c r="AX4" s="11">
        <f t="shared" si="71"/>
        <v>0</v>
      </c>
      <c r="AY4" s="11">
        <f t="shared" si="71"/>
        <v>0</v>
      </c>
      <c r="AZ4" s="11">
        <f t="shared" si="71"/>
        <v>0</v>
      </c>
      <c r="BA4" s="11">
        <f t="shared" si="71"/>
        <v>0</v>
      </c>
      <c r="BB4" s="11">
        <f t="shared" si="71"/>
        <v>0</v>
      </c>
      <c r="BC4" s="11">
        <f t="shared" si="71"/>
        <v>0</v>
      </c>
      <c r="BD4" s="11">
        <f t="shared" si="71"/>
        <v>0</v>
      </c>
      <c r="BE4" s="11">
        <f t="shared" si="71"/>
        <v>0</v>
      </c>
      <c r="BF4" s="11">
        <f t="shared" si="71"/>
        <v>0</v>
      </c>
      <c r="BG4" s="11">
        <f t="shared" si="71"/>
        <v>0</v>
      </c>
      <c r="BH4" s="11">
        <f t="shared" si="71"/>
        <v>0</v>
      </c>
      <c r="BI4" s="11">
        <f t="shared" si="71"/>
        <v>0</v>
      </c>
      <c r="BJ4" s="11">
        <f t="shared" si="71"/>
        <v>0</v>
      </c>
      <c r="BK4" s="11">
        <f t="shared" si="71"/>
        <v>0</v>
      </c>
      <c r="BL4" s="11">
        <f t="shared" si="71"/>
        <v>0</v>
      </c>
      <c r="BM4" s="11">
        <f t="shared" si="71"/>
        <v>0</v>
      </c>
      <c r="BN4" s="11">
        <f t="shared" si="71"/>
        <v>0</v>
      </c>
      <c r="BO4" s="11">
        <f t="shared" si="71"/>
        <v>0</v>
      </c>
      <c r="BP4" s="11">
        <f t="shared" si="71"/>
        <v>0</v>
      </c>
      <c r="BQ4" s="11">
        <f t="shared" si="71"/>
        <v>0</v>
      </c>
      <c r="BR4" s="11">
        <f t="shared" si="71"/>
        <v>0</v>
      </c>
      <c r="BS4" s="11">
        <f t="shared" si="71"/>
        <v>0</v>
      </c>
      <c r="BT4" s="11">
        <f t="shared" si="71"/>
        <v>0</v>
      </c>
      <c r="BU4" s="11">
        <f t="shared" si="71"/>
        <v>0</v>
      </c>
      <c r="BV4" s="11">
        <f t="shared" si="71"/>
        <v>0</v>
      </c>
      <c r="BW4" s="11">
        <f t="shared" si="71"/>
        <v>0</v>
      </c>
      <c r="BX4" s="11">
        <f t="shared" si="71"/>
        <v>0</v>
      </c>
      <c r="BY4" s="11">
        <f t="shared" si="71"/>
        <v>0</v>
      </c>
      <c r="BZ4" s="11">
        <f t="shared" si="71"/>
        <v>0</v>
      </c>
      <c r="CA4" s="11">
        <f t="shared" si="71"/>
        <v>0</v>
      </c>
      <c r="CB4" s="11">
        <f t="shared" si="71"/>
        <v>0</v>
      </c>
      <c r="CC4" s="11">
        <f t="shared" si="71"/>
        <v>0</v>
      </c>
      <c r="CD4" s="11">
        <f t="shared" si="71"/>
        <v>0</v>
      </c>
      <c r="CE4" s="11">
        <f t="shared" si="71"/>
        <v>0</v>
      </c>
      <c r="CF4" s="11">
        <f t="shared" si="71"/>
        <v>0</v>
      </c>
      <c r="CG4" s="11">
        <f t="shared" si="71"/>
        <v>0</v>
      </c>
      <c r="CH4" s="11">
        <f t="shared" si="71"/>
        <v>0</v>
      </c>
      <c r="CI4" s="11">
        <f t="shared" si="71"/>
        <v>0</v>
      </c>
      <c r="CJ4" s="11">
        <f t="shared" si="71"/>
        <v>0</v>
      </c>
      <c r="CK4" s="11">
        <f t="shared" si="71"/>
        <v>0</v>
      </c>
      <c r="CL4" s="11">
        <f t="shared" si="71"/>
        <v>0</v>
      </c>
      <c r="CM4" s="11">
        <f t="shared" si="71"/>
        <v>0</v>
      </c>
      <c r="CN4" s="11">
        <f t="shared" ref="CN4:CY4" si="72">SUM(CN12:CN1000)</f>
        <v>0</v>
      </c>
      <c r="CO4" s="11">
        <f t="shared" si="72"/>
        <v>0</v>
      </c>
      <c r="CP4" s="11">
        <f t="shared" si="72"/>
        <v>0</v>
      </c>
      <c r="CQ4" s="11">
        <f t="shared" si="72"/>
        <v>0</v>
      </c>
      <c r="CR4" s="11">
        <f t="shared" si="72"/>
        <v>0</v>
      </c>
      <c r="CS4" s="11">
        <f t="shared" si="72"/>
        <v>0</v>
      </c>
      <c r="CT4" s="11">
        <f t="shared" si="72"/>
        <v>0</v>
      </c>
      <c r="CU4" s="11">
        <f t="shared" si="72"/>
        <v>0</v>
      </c>
      <c r="CV4" s="11">
        <f t="shared" si="72"/>
        <v>0</v>
      </c>
      <c r="CW4" s="11">
        <f t="shared" si="72"/>
        <v>0</v>
      </c>
      <c r="CX4" s="11">
        <f t="shared" si="72"/>
        <v>0</v>
      </c>
      <c r="CY4" s="11">
        <f t="shared" si="72"/>
        <v>0</v>
      </c>
    </row>
    <row r="5" spans="1:169" ht="44.25" customHeight="1">
      <c r="J5" s="90" t="s">
        <v>19</v>
      </c>
      <c r="K5" s="91"/>
      <c r="L5" s="20" t="s">
        <v>29</v>
      </c>
      <c r="M5" s="20" t="s">
        <v>20</v>
      </c>
      <c r="N5" s="20" t="s">
        <v>21</v>
      </c>
      <c r="O5" s="21" t="s">
        <v>16</v>
      </c>
      <c r="V5" s="42"/>
      <c r="W5" s="42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CX5" s="9"/>
      <c r="CY5" s="9"/>
      <c r="CZ5" s="9"/>
    </row>
    <row r="6" spans="1:169" ht="45.6" customHeight="1">
      <c r="J6" s="92">
        <v>1</v>
      </c>
      <c r="K6" s="93"/>
      <c r="L6" s="22"/>
      <c r="M6" s="22"/>
      <c r="N6" s="23"/>
      <c r="O6" s="24"/>
      <c r="V6" s="42"/>
      <c r="W6" s="42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CX6" s="9"/>
      <c r="CY6" s="9"/>
      <c r="CZ6" s="9"/>
    </row>
    <row r="7" spans="1:169" ht="45.6" customHeight="1">
      <c r="J7" s="97">
        <v>2</v>
      </c>
      <c r="K7" s="98"/>
      <c r="L7" s="25"/>
      <c r="M7" s="25"/>
      <c r="N7" s="26"/>
      <c r="O7" s="27"/>
      <c r="V7" s="42"/>
      <c r="W7" s="42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CX7" s="9"/>
      <c r="CY7" s="9"/>
      <c r="CZ7" s="9"/>
    </row>
    <row r="8" spans="1:169" ht="45.6" customHeight="1">
      <c r="J8" s="99">
        <v>3</v>
      </c>
      <c r="K8" s="100"/>
      <c r="L8" s="28"/>
      <c r="M8" s="28"/>
      <c r="N8" s="29"/>
      <c r="O8" s="30"/>
      <c r="V8" s="42"/>
      <c r="W8" s="42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CX8" s="9"/>
      <c r="CY8" s="9"/>
      <c r="CZ8" s="9"/>
    </row>
    <row r="9" spans="1:169" ht="45.6" customHeight="1">
      <c r="J9" s="86">
        <v>4</v>
      </c>
      <c r="K9" s="87"/>
      <c r="L9" s="31"/>
      <c r="M9" s="31"/>
      <c r="N9" s="32"/>
      <c r="O9" s="33"/>
      <c r="V9" s="42"/>
      <c r="W9" s="42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CX9" s="9"/>
      <c r="CY9" s="9"/>
      <c r="CZ9" s="9"/>
    </row>
    <row r="10" spans="1:169" ht="45.6" customHeight="1" thickBot="1">
      <c r="J10" s="88">
        <v>5</v>
      </c>
      <c r="K10" s="89"/>
      <c r="L10" s="34"/>
      <c r="M10" s="34"/>
      <c r="N10" s="35"/>
      <c r="O10" s="36"/>
      <c r="V10" s="42"/>
      <c r="W10" s="42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CX10" s="9"/>
      <c r="CY10" s="9"/>
      <c r="CZ10" s="9"/>
    </row>
    <row r="11" spans="1:169" s="1" customFormat="1" ht="12.75" thickBot="1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0"/>
      <c r="U11" s="11"/>
      <c r="V11" s="11"/>
      <c r="W11" s="13"/>
      <c r="X11" s="12"/>
      <c r="Y11" s="12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</row>
    <row r="12" spans="1:169" s="6" customFormat="1" ht="20.25" customHeight="1">
      <c r="A12" s="10"/>
      <c r="B12" s="10"/>
      <c r="C12" s="49" t="e">
        <f>"FINAL AUDIT " &amp; TEXT((U12/T12) * 100%, "0.00%")</f>
        <v>#DIV/0!</v>
      </c>
      <c r="D12" s="38"/>
      <c r="E12" s="2"/>
      <c r="F12" s="50">
        <f>IF(E12&gt;=D12,E12-D12,E12-D12+1)</f>
        <v>0</v>
      </c>
      <c r="G12" s="38"/>
      <c r="H12" s="2"/>
      <c r="I12" s="50">
        <f t="shared" ref="I12:I39" si="73">IF(H12&gt;=G12,H12-G12,H12-G12+1)</f>
        <v>0</v>
      </c>
      <c r="J12" s="37" t="s">
        <v>30</v>
      </c>
      <c r="K12" s="37"/>
      <c r="L12" s="14"/>
      <c r="M12" s="16"/>
      <c r="N12" s="16"/>
      <c r="O12" s="51">
        <f>IF(LEFT(M12,2)="01","JAPAN",IF(LEFT(M12,2)="03","CHINA",IF(LEFT(M12,2)="07","EUROPE",IF(LEFT(M12,2)="14","AU",IF(LEFT(M12,2)="17","CANADA",IF(LEFT(M12,2)="04","USA",IF(LEFT(M12,2)="10","TAIWAN",IF(LEFT(M12,2)="36","INDIA",IF(LEFT(M12,2)="05","KOREA",IF(LEFT(M12,2)="08","SINGAPORE",))))))))))</f>
        <v>0</v>
      </c>
      <c r="P12" s="17"/>
      <c r="Q12" s="51"/>
      <c r="R12" s="17"/>
      <c r="S12" s="43"/>
      <c r="T12" s="17"/>
      <c r="U12" s="3"/>
      <c r="V12" s="15" t="s">
        <v>30</v>
      </c>
      <c r="W12" s="18">
        <f t="shared" ref="W12:W39" si="74">SUM(Z12:CY12)</f>
        <v>0</v>
      </c>
      <c r="X12" s="19" t="e">
        <f>W12/U12</f>
        <v>#DIV/0!</v>
      </c>
      <c r="Y12" s="4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</row>
    <row r="13" spans="1:169" s="6" customFormat="1" ht="20.25" customHeight="1">
      <c r="A13" s="10"/>
      <c r="B13" s="10"/>
      <c r="C13" s="49" t="e">
        <f>"FINAL AUDIT " &amp; TEXT((U13/T13) * 100%, "0.00%")</f>
        <v>#DIV/0!</v>
      </c>
      <c r="D13" s="38"/>
      <c r="E13" s="2"/>
      <c r="F13" s="50">
        <f t="shared" ref="F13:F39" si="75">IF(E13&gt;=D13,E13-D13,E13-D13+1)</f>
        <v>0</v>
      </c>
      <c r="G13" s="38"/>
      <c r="H13" s="2"/>
      <c r="I13" s="50">
        <f t="shared" si="73"/>
        <v>0</v>
      </c>
      <c r="J13" s="37" t="s">
        <v>30</v>
      </c>
      <c r="K13" s="37"/>
      <c r="L13" s="14"/>
      <c r="M13" s="16"/>
      <c r="N13" s="16"/>
      <c r="O13" s="51">
        <f t="shared" ref="O13:O39" si="76">IF(LEFT(M13,2)="01","JAPAN",IF(LEFT(M13,2)="03","CHINA",IF(LEFT(M13,2)="07","EUROPE",IF(LEFT(M13,2)="14","AU",IF(LEFT(M13,2)="17","CANADA",IF(LEFT(M13,2)="04","USA",IF(LEFT(M13,2)="10","TAIWAN",IF(LEFT(M13,2)="36","INDIA",IF(LEFT(M13,2)="05","KOREA",IF(LEFT(M13,2)="08","SINGAPORE",))))))))))</f>
        <v>0</v>
      </c>
      <c r="P13" s="17"/>
      <c r="Q13" s="51"/>
      <c r="R13" s="17"/>
      <c r="S13" s="43"/>
      <c r="T13" s="17"/>
      <c r="U13" s="3"/>
      <c r="V13" s="15" t="s">
        <v>30</v>
      </c>
      <c r="W13" s="18">
        <f t="shared" si="74"/>
        <v>0</v>
      </c>
      <c r="X13" s="19" t="e">
        <f t="shared" ref="X13:X32" si="77">W13/U13</f>
        <v>#DIV/0!</v>
      </c>
      <c r="Y13" s="4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</row>
    <row r="14" spans="1:169" s="6" customFormat="1" ht="20.25" customHeight="1">
      <c r="A14" s="10"/>
      <c r="B14" s="10"/>
      <c r="C14" s="49" t="e">
        <f t="shared" ref="C14:C26" si="78">"FINAL AUDIT " &amp; TEXT((U14/T14) * 100%, "0.00%")</f>
        <v>#DIV/0!</v>
      </c>
      <c r="D14" s="38"/>
      <c r="E14" s="2"/>
      <c r="F14" s="50">
        <f t="shared" si="75"/>
        <v>0</v>
      </c>
      <c r="G14" s="38"/>
      <c r="H14" s="2"/>
      <c r="I14" s="50">
        <f t="shared" si="73"/>
        <v>0</v>
      </c>
      <c r="J14" s="37" t="s">
        <v>30</v>
      </c>
      <c r="K14" s="37"/>
      <c r="L14" s="14"/>
      <c r="M14" s="16"/>
      <c r="N14" s="16"/>
      <c r="O14" s="51">
        <f t="shared" si="76"/>
        <v>0</v>
      </c>
      <c r="P14" s="17"/>
      <c r="Q14" s="51"/>
      <c r="R14" s="17"/>
      <c r="S14" s="43"/>
      <c r="T14" s="17"/>
      <c r="U14" s="3"/>
      <c r="V14" s="15" t="s">
        <v>30</v>
      </c>
      <c r="W14" s="18">
        <f t="shared" si="74"/>
        <v>0</v>
      </c>
      <c r="X14" s="19" t="e">
        <f t="shared" si="77"/>
        <v>#DIV/0!</v>
      </c>
      <c r="Y14" s="4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</row>
    <row r="15" spans="1:169" s="6" customFormat="1" ht="20.25" customHeight="1">
      <c r="A15" s="10"/>
      <c r="B15" s="10"/>
      <c r="C15" s="49" t="e">
        <f t="shared" si="78"/>
        <v>#DIV/0!</v>
      </c>
      <c r="D15" s="38"/>
      <c r="E15" s="2"/>
      <c r="F15" s="50">
        <f t="shared" si="75"/>
        <v>0</v>
      </c>
      <c r="G15" s="38"/>
      <c r="H15" s="2"/>
      <c r="I15" s="50">
        <f t="shared" si="73"/>
        <v>0</v>
      </c>
      <c r="J15" s="37" t="s">
        <v>30</v>
      </c>
      <c r="K15" s="37"/>
      <c r="L15" s="14"/>
      <c r="M15" s="16"/>
      <c r="N15" s="16"/>
      <c r="O15" s="51">
        <f t="shared" si="76"/>
        <v>0</v>
      </c>
      <c r="P15" s="17"/>
      <c r="Q15" s="51"/>
      <c r="R15" s="17"/>
      <c r="S15" s="43"/>
      <c r="T15" s="17"/>
      <c r="U15" s="3"/>
      <c r="V15" s="15" t="s">
        <v>30</v>
      </c>
      <c r="W15" s="18">
        <f t="shared" si="74"/>
        <v>0</v>
      </c>
      <c r="X15" s="19" t="e">
        <f t="shared" si="77"/>
        <v>#DIV/0!</v>
      </c>
      <c r="Y15" s="41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</row>
    <row r="16" spans="1:169" s="6" customFormat="1" ht="20.25" customHeight="1">
      <c r="A16" s="10"/>
      <c r="B16" s="10"/>
      <c r="C16" s="49" t="e">
        <f t="shared" si="78"/>
        <v>#DIV/0!</v>
      </c>
      <c r="D16" s="38"/>
      <c r="E16" s="2"/>
      <c r="F16" s="50">
        <f t="shared" si="75"/>
        <v>0</v>
      </c>
      <c r="G16" s="38"/>
      <c r="H16" s="2"/>
      <c r="I16" s="50">
        <f t="shared" si="73"/>
        <v>0</v>
      </c>
      <c r="J16" s="37" t="s">
        <v>30</v>
      </c>
      <c r="K16" s="37"/>
      <c r="L16" s="14"/>
      <c r="M16" s="16"/>
      <c r="N16" s="16"/>
      <c r="O16" s="51">
        <f t="shared" si="76"/>
        <v>0</v>
      </c>
      <c r="P16" s="17"/>
      <c r="Q16" s="51"/>
      <c r="R16" s="17"/>
      <c r="S16" s="43"/>
      <c r="T16" s="17"/>
      <c r="U16" s="3"/>
      <c r="V16" s="15" t="s">
        <v>30</v>
      </c>
      <c r="W16" s="18">
        <f t="shared" si="74"/>
        <v>0</v>
      </c>
      <c r="X16" s="19" t="e">
        <f t="shared" si="77"/>
        <v>#DIV/0!</v>
      </c>
      <c r="Y16" s="41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</row>
    <row r="17" spans="1:169" s="6" customFormat="1" ht="20.25" customHeight="1">
      <c r="A17" s="10"/>
      <c r="B17" s="10"/>
      <c r="C17" s="49" t="e">
        <f t="shared" si="78"/>
        <v>#DIV/0!</v>
      </c>
      <c r="D17" s="38"/>
      <c r="E17" s="2"/>
      <c r="F17" s="50">
        <f t="shared" si="75"/>
        <v>0</v>
      </c>
      <c r="G17" s="38"/>
      <c r="H17" s="2"/>
      <c r="I17" s="50">
        <f t="shared" si="73"/>
        <v>0</v>
      </c>
      <c r="J17" s="37" t="s">
        <v>30</v>
      </c>
      <c r="K17" s="37"/>
      <c r="L17" s="14"/>
      <c r="M17" s="16"/>
      <c r="N17" s="16"/>
      <c r="O17" s="51">
        <f t="shared" si="76"/>
        <v>0</v>
      </c>
      <c r="P17" s="17"/>
      <c r="Q17" s="51"/>
      <c r="R17" s="17"/>
      <c r="S17" s="43"/>
      <c r="T17" s="17"/>
      <c r="U17" s="3"/>
      <c r="V17" s="15" t="s">
        <v>30</v>
      </c>
      <c r="W17" s="18">
        <f t="shared" si="74"/>
        <v>0</v>
      </c>
      <c r="X17" s="19" t="e">
        <f t="shared" si="77"/>
        <v>#DIV/0!</v>
      </c>
      <c r="Y17" s="4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</row>
    <row r="18" spans="1:169" s="6" customFormat="1" ht="20.25" customHeight="1">
      <c r="A18" s="10"/>
      <c r="B18" s="10"/>
      <c r="C18" s="49" t="e">
        <f t="shared" si="78"/>
        <v>#DIV/0!</v>
      </c>
      <c r="D18" s="38"/>
      <c r="E18" s="2"/>
      <c r="F18" s="50">
        <f t="shared" si="75"/>
        <v>0</v>
      </c>
      <c r="G18" s="38"/>
      <c r="H18" s="2"/>
      <c r="I18" s="50">
        <f t="shared" si="73"/>
        <v>0</v>
      </c>
      <c r="J18" s="37" t="s">
        <v>30</v>
      </c>
      <c r="K18" s="37"/>
      <c r="L18" s="14"/>
      <c r="M18" s="16"/>
      <c r="N18" s="16"/>
      <c r="O18" s="51">
        <f t="shared" si="76"/>
        <v>0</v>
      </c>
      <c r="P18" s="17"/>
      <c r="Q18" s="51"/>
      <c r="R18" s="17"/>
      <c r="S18" s="43"/>
      <c r="T18" s="17"/>
      <c r="U18" s="3"/>
      <c r="V18" s="15" t="s">
        <v>30</v>
      </c>
      <c r="W18" s="18">
        <f t="shared" si="74"/>
        <v>0</v>
      </c>
      <c r="X18" s="19" t="e">
        <f t="shared" si="77"/>
        <v>#DIV/0!</v>
      </c>
      <c r="Y18" s="4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</row>
    <row r="19" spans="1:169" s="6" customFormat="1" ht="20.25" customHeight="1">
      <c r="A19" s="10"/>
      <c r="B19" s="10"/>
      <c r="C19" s="49" t="e">
        <f t="shared" si="78"/>
        <v>#DIV/0!</v>
      </c>
      <c r="D19" s="38"/>
      <c r="E19" s="2"/>
      <c r="F19" s="50">
        <f t="shared" si="75"/>
        <v>0</v>
      </c>
      <c r="G19" s="38"/>
      <c r="H19" s="2"/>
      <c r="I19" s="50">
        <f t="shared" si="73"/>
        <v>0</v>
      </c>
      <c r="J19" s="37" t="s">
        <v>30</v>
      </c>
      <c r="K19" s="37"/>
      <c r="L19" s="14"/>
      <c r="M19" s="16"/>
      <c r="N19" s="16"/>
      <c r="O19" s="51">
        <f t="shared" si="76"/>
        <v>0</v>
      </c>
      <c r="P19" s="17"/>
      <c r="Q19" s="51"/>
      <c r="R19" s="17"/>
      <c r="S19" s="43"/>
      <c r="T19" s="17"/>
      <c r="U19" s="3"/>
      <c r="V19" s="15" t="s">
        <v>30</v>
      </c>
      <c r="W19" s="18">
        <f t="shared" si="74"/>
        <v>0</v>
      </c>
      <c r="X19" s="19" t="e">
        <f t="shared" si="77"/>
        <v>#DIV/0!</v>
      </c>
      <c r="Y19" s="4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</row>
    <row r="20" spans="1:169" s="6" customFormat="1" ht="20.25" customHeight="1">
      <c r="A20" s="10"/>
      <c r="B20" s="10"/>
      <c r="C20" s="49" t="e">
        <f t="shared" si="78"/>
        <v>#DIV/0!</v>
      </c>
      <c r="D20" s="38"/>
      <c r="E20" s="2"/>
      <c r="F20" s="50">
        <f t="shared" si="75"/>
        <v>0</v>
      </c>
      <c r="G20" s="38"/>
      <c r="H20" s="2"/>
      <c r="I20" s="50">
        <f t="shared" si="73"/>
        <v>0</v>
      </c>
      <c r="J20" s="37" t="s">
        <v>30</v>
      </c>
      <c r="K20" s="52"/>
      <c r="L20" s="14"/>
      <c r="M20" s="16"/>
      <c r="N20" s="16"/>
      <c r="O20" s="51">
        <f t="shared" si="76"/>
        <v>0</v>
      </c>
      <c r="P20" s="17"/>
      <c r="Q20" s="51"/>
      <c r="R20" s="17"/>
      <c r="S20" s="43"/>
      <c r="T20" s="17"/>
      <c r="U20" s="3"/>
      <c r="V20" s="15" t="s">
        <v>30</v>
      </c>
      <c r="W20" s="18">
        <f t="shared" si="74"/>
        <v>0</v>
      </c>
      <c r="X20" s="19" t="e">
        <f t="shared" si="77"/>
        <v>#DIV/0!</v>
      </c>
      <c r="Y20" s="4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</row>
    <row r="21" spans="1:169" s="6" customFormat="1" ht="20.25" customHeight="1">
      <c r="A21" s="10"/>
      <c r="B21" s="10"/>
      <c r="C21" s="49" t="e">
        <f t="shared" si="78"/>
        <v>#DIV/0!</v>
      </c>
      <c r="D21" s="38"/>
      <c r="E21" s="2"/>
      <c r="F21" s="50">
        <f t="shared" si="75"/>
        <v>0</v>
      </c>
      <c r="G21" s="38"/>
      <c r="H21" s="2"/>
      <c r="I21" s="50">
        <f t="shared" si="73"/>
        <v>0</v>
      </c>
      <c r="J21" s="37" t="s">
        <v>30</v>
      </c>
      <c r="K21" s="37"/>
      <c r="L21" s="14"/>
      <c r="M21" s="16"/>
      <c r="N21" s="16"/>
      <c r="O21" s="51">
        <f t="shared" si="76"/>
        <v>0</v>
      </c>
      <c r="P21" s="17"/>
      <c r="Q21" s="51"/>
      <c r="R21" s="17"/>
      <c r="S21" s="43"/>
      <c r="T21" s="17"/>
      <c r="U21" s="3"/>
      <c r="V21" s="15" t="s">
        <v>30</v>
      </c>
      <c r="W21" s="18">
        <f t="shared" si="74"/>
        <v>0</v>
      </c>
      <c r="X21" s="19" t="e">
        <f t="shared" si="77"/>
        <v>#DIV/0!</v>
      </c>
      <c r="Y21" s="4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</row>
    <row r="22" spans="1:169" s="6" customFormat="1" ht="20.25" customHeight="1">
      <c r="A22" s="10"/>
      <c r="B22" s="10"/>
      <c r="C22" s="49" t="e">
        <f t="shared" si="78"/>
        <v>#DIV/0!</v>
      </c>
      <c r="D22" s="38"/>
      <c r="E22" s="2"/>
      <c r="F22" s="50">
        <f t="shared" si="75"/>
        <v>0</v>
      </c>
      <c r="G22" s="38"/>
      <c r="H22" s="2"/>
      <c r="I22" s="50">
        <f t="shared" si="73"/>
        <v>0</v>
      </c>
      <c r="J22" s="37" t="s">
        <v>30</v>
      </c>
      <c r="K22" s="37"/>
      <c r="L22" s="14"/>
      <c r="M22" s="16"/>
      <c r="N22" s="16"/>
      <c r="O22" s="51">
        <f t="shared" si="76"/>
        <v>0</v>
      </c>
      <c r="P22" s="17"/>
      <c r="Q22" s="51"/>
      <c r="R22" s="17"/>
      <c r="S22" s="43"/>
      <c r="T22" s="17"/>
      <c r="U22" s="3"/>
      <c r="V22" s="15" t="s">
        <v>30</v>
      </c>
      <c r="W22" s="18">
        <f t="shared" si="74"/>
        <v>0</v>
      </c>
      <c r="X22" s="19" t="e">
        <f t="shared" si="77"/>
        <v>#DIV/0!</v>
      </c>
      <c r="Y22" s="4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</row>
    <row r="23" spans="1:169" s="6" customFormat="1" ht="20.25" customHeight="1">
      <c r="A23" s="10"/>
      <c r="B23" s="10"/>
      <c r="C23" s="49" t="e">
        <f t="shared" si="78"/>
        <v>#DIV/0!</v>
      </c>
      <c r="D23" s="38"/>
      <c r="E23" s="2"/>
      <c r="F23" s="50">
        <f t="shared" si="75"/>
        <v>0</v>
      </c>
      <c r="G23" s="38"/>
      <c r="H23" s="2"/>
      <c r="I23" s="50">
        <f t="shared" si="73"/>
        <v>0</v>
      </c>
      <c r="J23" s="37" t="s">
        <v>30</v>
      </c>
      <c r="K23" s="37"/>
      <c r="L23" s="14"/>
      <c r="M23" s="16"/>
      <c r="N23" s="16"/>
      <c r="O23" s="51">
        <f t="shared" si="76"/>
        <v>0</v>
      </c>
      <c r="P23" s="17"/>
      <c r="Q23" s="51"/>
      <c r="R23" s="17"/>
      <c r="S23" s="43"/>
      <c r="T23" s="17"/>
      <c r="U23" s="3"/>
      <c r="V23" s="15" t="s">
        <v>30</v>
      </c>
      <c r="W23" s="18">
        <f t="shared" si="74"/>
        <v>0</v>
      </c>
      <c r="X23" s="19" t="e">
        <f t="shared" si="77"/>
        <v>#DIV/0!</v>
      </c>
      <c r="Y23" s="4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</row>
    <row r="24" spans="1:169" s="6" customFormat="1" ht="20.25" customHeight="1">
      <c r="A24" s="10"/>
      <c r="B24" s="10"/>
      <c r="C24" s="49" t="e">
        <f t="shared" si="78"/>
        <v>#DIV/0!</v>
      </c>
      <c r="D24" s="38"/>
      <c r="E24" s="2"/>
      <c r="F24" s="50">
        <f t="shared" si="75"/>
        <v>0</v>
      </c>
      <c r="G24" s="38"/>
      <c r="H24" s="2"/>
      <c r="I24" s="50">
        <f t="shared" si="73"/>
        <v>0</v>
      </c>
      <c r="J24" s="37" t="s">
        <v>30</v>
      </c>
      <c r="K24" s="37"/>
      <c r="L24" s="14"/>
      <c r="M24" s="16"/>
      <c r="N24" s="16"/>
      <c r="O24" s="51">
        <f t="shared" si="76"/>
        <v>0</v>
      </c>
      <c r="P24" s="17"/>
      <c r="Q24" s="51"/>
      <c r="R24" s="17"/>
      <c r="S24" s="43"/>
      <c r="T24" s="17"/>
      <c r="U24" s="3"/>
      <c r="V24" s="15" t="s">
        <v>30</v>
      </c>
      <c r="W24" s="18">
        <f t="shared" si="74"/>
        <v>0</v>
      </c>
      <c r="X24" s="19" t="e">
        <f t="shared" si="77"/>
        <v>#DIV/0!</v>
      </c>
      <c r="Y24" s="4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</row>
    <row r="25" spans="1:169" s="6" customFormat="1" ht="20.25" customHeight="1">
      <c r="A25" s="10"/>
      <c r="B25" s="10"/>
      <c r="C25" s="49" t="e">
        <f t="shared" si="78"/>
        <v>#DIV/0!</v>
      </c>
      <c r="D25" s="38"/>
      <c r="E25" s="2"/>
      <c r="F25" s="50">
        <f t="shared" si="75"/>
        <v>0</v>
      </c>
      <c r="G25" s="38"/>
      <c r="H25" s="2"/>
      <c r="I25" s="50">
        <f t="shared" si="73"/>
        <v>0</v>
      </c>
      <c r="J25" s="37" t="s">
        <v>30</v>
      </c>
      <c r="K25" s="37"/>
      <c r="L25" s="14"/>
      <c r="M25" s="16"/>
      <c r="N25" s="16"/>
      <c r="O25" s="51">
        <f t="shared" si="76"/>
        <v>0</v>
      </c>
      <c r="P25" s="17"/>
      <c r="Q25" s="51"/>
      <c r="R25" s="17"/>
      <c r="S25" s="43"/>
      <c r="T25" s="17"/>
      <c r="U25" s="3"/>
      <c r="V25" s="15" t="s">
        <v>30</v>
      </c>
      <c r="W25" s="18">
        <f t="shared" si="74"/>
        <v>0</v>
      </c>
      <c r="X25" s="19" t="e">
        <f t="shared" si="77"/>
        <v>#DIV/0!</v>
      </c>
      <c r="Y25" s="4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</row>
    <row r="26" spans="1:169" s="6" customFormat="1" ht="20.25" customHeight="1">
      <c r="A26" s="10"/>
      <c r="B26" s="10"/>
      <c r="C26" s="49" t="e">
        <f t="shared" si="78"/>
        <v>#DIV/0!</v>
      </c>
      <c r="D26" s="38"/>
      <c r="E26" s="2"/>
      <c r="F26" s="50">
        <f t="shared" si="75"/>
        <v>0</v>
      </c>
      <c r="G26" s="38"/>
      <c r="H26" s="2"/>
      <c r="I26" s="50">
        <f t="shared" si="73"/>
        <v>0</v>
      </c>
      <c r="J26" s="37" t="s">
        <v>30</v>
      </c>
      <c r="K26" s="52"/>
      <c r="L26" s="14"/>
      <c r="M26" s="16"/>
      <c r="N26" s="16"/>
      <c r="O26" s="51">
        <f t="shared" si="76"/>
        <v>0</v>
      </c>
      <c r="P26" s="17"/>
      <c r="Q26" s="51"/>
      <c r="R26" s="17"/>
      <c r="S26" s="43"/>
      <c r="T26" s="17"/>
      <c r="U26" s="3"/>
      <c r="V26" s="15" t="s">
        <v>30</v>
      </c>
      <c r="W26" s="18">
        <f t="shared" si="74"/>
        <v>0</v>
      </c>
      <c r="X26" s="19" t="e">
        <f t="shared" si="77"/>
        <v>#DIV/0!</v>
      </c>
      <c r="Y26" s="4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</row>
    <row r="27" spans="1:169" s="6" customFormat="1" ht="20.25" customHeight="1">
      <c r="A27" s="10"/>
      <c r="B27" s="10"/>
      <c r="C27" s="49" t="e">
        <f t="shared" ref="C27:C39" si="79">"FINAL AUDIT " &amp; TEXT((U27/T27) * 100%, "0.00%")</f>
        <v>#DIV/0!</v>
      </c>
      <c r="D27" s="38"/>
      <c r="E27" s="2"/>
      <c r="F27" s="50">
        <f t="shared" si="75"/>
        <v>0</v>
      </c>
      <c r="G27" s="38"/>
      <c r="H27" s="2"/>
      <c r="I27" s="50">
        <f t="shared" si="73"/>
        <v>0</v>
      </c>
      <c r="J27" s="37" t="s">
        <v>30</v>
      </c>
      <c r="K27" s="37"/>
      <c r="L27" s="14"/>
      <c r="M27" s="16"/>
      <c r="N27" s="16"/>
      <c r="O27" s="51">
        <f t="shared" si="76"/>
        <v>0</v>
      </c>
      <c r="P27" s="17"/>
      <c r="Q27" s="51"/>
      <c r="R27" s="17"/>
      <c r="S27" s="43"/>
      <c r="T27" s="17"/>
      <c r="U27" s="3"/>
      <c r="V27" s="15" t="s">
        <v>30</v>
      </c>
      <c r="W27" s="18">
        <f t="shared" si="74"/>
        <v>0</v>
      </c>
      <c r="X27" s="19" t="e">
        <f t="shared" si="77"/>
        <v>#DIV/0!</v>
      </c>
      <c r="Y27" s="4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</row>
    <row r="28" spans="1:169" s="6" customFormat="1" ht="20.25" customHeight="1">
      <c r="A28" s="10"/>
      <c r="B28" s="10"/>
      <c r="C28" s="49" t="e">
        <f t="shared" si="79"/>
        <v>#DIV/0!</v>
      </c>
      <c r="D28" s="38"/>
      <c r="E28" s="2"/>
      <c r="F28" s="50">
        <f t="shared" si="75"/>
        <v>0</v>
      </c>
      <c r="G28" s="38"/>
      <c r="H28" s="2"/>
      <c r="I28" s="50">
        <f t="shared" si="73"/>
        <v>0</v>
      </c>
      <c r="J28" s="37" t="s">
        <v>30</v>
      </c>
      <c r="K28" s="37"/>
      <c r="L28" s="14"/>
      <c r="M28" s="16"/>
      <c r="N28" s="16"/>
      <c r="O28" s="51">
        <f t="shared" si="76"/>
        <v>0</v>
      </c>
      <c r="P28" s="17"/>
      <c r="Q28" s="51"/>
      <c r="R28" s="17"/>
      <c r="S28" s="43"/>
      <c r="T28" s="17"/>
      <c r="U28" s="3"/>
      <c r="V28" s="15" t="s">
        <v>30</v>
      </c>
      <c r="W28" s="18">
        <f t="shared" si="74"/>
        <v>0</v>
      </c>
      <c r="X28" s="19" t="e">
        <f t="shared" si="77"/>
        <v>#DIV/0!</v>
      </c>
      <c r="Y28" s="4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</row>
    <row r="29" spans="1:169" s="6" customFormat="1" ht="20.25" customHeight="1">
      <c r="A29" s="10"/>
      <c r="B29" s="10"/>
      <c r="C29" s="49" t="e">
        <f t="shared" si="79"/>
        <v>#DIV/0!</v>
      </c>
      <c r="D29" s="38"/>
      <c r="E29" s="2"/>
      <c r="F29" s="50">
        <f t="shared" si="75"/>
        <v>0</v>
      </c>
      <c r="G29" s="38"/>
      <c r="H29" s="2"/>
      <c r="I29" s="50">
        <f t="shared" si="73"/>
        <v>0</v>
      </c>
      <c r="J29" s="37" t="s">
        <v>30</v>
      </c>
      <c r="K29" s="37"/>
      <c r="L29" s="14"/>
      <c r="M29" s="16"/>
      <c r="N29" s="16"/>
      <c r="O29" s="51">
        <f t="shared" si="76"/>
        <v>0</v>
      </c>
      <c r="P29" s="17"/>
      <c r="Q29" s="51"/>
      <c r="R29" s="17"/>
      <c r="S29" s="43"/>
      <c r="T29" s="17"/>
      <c r="U29" s="3"/>
      <c r="V29" s="15" t="s">
        <v>30</v>
      </c>
      <c r="W29" s="18">
        <f t="shared" si="74"/>
        <v>0</v>
      </c>
      <c r="X29" s="19" t="e">
        <f t="shared" si="77"/>
        <v>#DIV/0!</v>
      </c>
      <c r="Y29" s="4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</row>
    <row r="30" spans="1:169" s="6" customFormat="1" ht="20.25" customHeight="1">
      <c r="A30" s="10"/>
      <c r="B30" s="10"/>
      <c r="C30" s="49" t="e">
        <f t="shared" si="79"/>
        <v>#DIV/0!</v>
      </c>
      <c r="D30" s="38"/>
      <c r="E30" s="2"/>
      <c r="F30" s="50">
        <f t="shared" si="75"/>
        <v>0</v>
      </c>
      <c r="G30" s="38"/>
      <c r="H30" s="2"/>
      <c r="I30" s="50">
        <f t="shared" si="73"/>
        <v>0</v>
      </c>
      <c r="J30" s="37" t="s">
        <v>30</v>
      </c>
      <c r="K30" s="52"/>
      <c r="L30" s="14"/>
      <c r="M30" s="16"/>
      <c r="N30" s="16"/>
      <c r="O30" s="51">
        <f t="shared" si="76"/>
        <v>0</v>
      </c>
      <c r="P30" s="17"/>
      <c r="Q30" s="51"/>
      <c r="R30" s="17"/>
      <c r="S30" s="43"/>
      <c r="T30" s="17"/>
      <c r="U30" s="3"/>
      <c r="V30" s="15" t="s">
        <v>30</v>
      </c>
      <c r="W30" s="18">
        <f t="shared" si="74"/>
        <v>0</v>
      </c>
      <c r="X30" s="19" t="e">
        <f t="shared" si="77"/>
        <v>#DIV/0!</v>
      </c>
      <c r="Y30" s="41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</row>
    <row r="31" spans="1:169" s="6" customFormat="1" ht="20.25" customHeight="1">
      <c r="A31" s="10"/>
      <c r="B31" s="10"/>
      <c r="C31" s="49" t="e">
        <f t="shared" si="79"/>
        <v>#DIV/0!</v>
      </c>
      <c r="D31" s="38"/>
      <c r="E31" s="2"/>
      <c r="F31" s="50">
        <f t="shared" si="75"/>
        <v>0</v>
      </c>
      <c r="G31" s="38"/>
      <c r="H31" s="2"/>
      <c r="I31" s="50">
        <f t="shared" si="73"/>
        <v>0</v>
      </c>
      <c r="J31" s="37" t="s">
        <v>30</v>
      </c>
      <c r="K31" s="37"/>
      <c r="L31" s="14"/>
      <c r="M31" s="16"/>
      <c r="N31" s="16"/>
      <c r="O31" s="51">
        <f t="shared" si="76"/>
        <v>0</v>
      </c>
      <c r="P31" s="17"/>
      <c r="Q31" s="51"/>
      <c r="R31" s="17"/>
      <c r="S31" s="43"/>
      <c r="T31" s="17"/>
      <c r="U31" s="3"/>
      <c r="V31" s="15" t="s">
        <v>30</v>
      </c>
      <c r="W31" s="18">
        <f t="shared" si="74"/>
        <v>0</v>
      </c>
      <c r="X31" s="19" t="e">
        <f t="shared" si="77"/>
        <v>#DIV/0!</v>
      </c>
      <c r="Y31" s="4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</row>
    <row r="32" spans="1:169" s="6" customFormat="1" ht="20.25" customHeight="1">
      <c r="A32" s="10"/>
      <c r="B32" s="10"/>
      <c r="C32" s="49" t="e">
        <f t="shared" si="79"/>
        <v>#DIV/0!</v>
      </c>
      <c r="D32" s="38"/>
      <c r="E32" s="2"/>
      <c r="F32" s="50">
        <f t="shared" si="75"/>
        <v>0</v>
      </c>
      <c r="G32" s="38"/>
      <c r="H32" s="2"/>
      <c r="I32" s="50">
        <f t="shared" si="73"/>
        <v>0</v>
      </c>
      <c r="J32" s="37" t="s">
        <v>30</v>
      </c>
      <c r="K32" s="37"/>
      <c r="L32" s="14"/>
      <c r="M32" s="16"/>
      <c r="N32" s="16"/>
      <c r="O32" s="51">
        <f t="shared" si="76"/>
        <v>0</v>
      </c>
      <c r="P32" s="17"/>
      <c r="Q32" s="51"/>
      <c r="R32" s="17"/>
      <c r="S32" s="43"/>
      <c r="T32" s="17"/>
      <c r="U32" s="3"/>
      <c r="V32" s="15" t="s">
        <v>30</v>
      </c>
      <c r="W32" s="18">
        <f t="shared" si="74"/>
        <v>0</v>
      </c>
      <c r="X32" s="19" t="e">
        <f t="shared" si="77"/>
        <v>#DIV/0!</v>
      </c>
      <c r="Y32" s="4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</row>
    <row r="33" spans="1:170" s="6" customFormat="1" ht="20.25" customHeight="1">
      <c r="A33" s="10"/>
      <c r="B33" s="10"/>
      <c r="C33" s="49" t="e">
        <f t="shared" si="79"/>
        <v>#DIV/0!</v>
      </c>
      <c r="D33" s="38"/>
      <c r="E33" s="2"/>
      <c r="F33" s="50">
        <f t="shared" si="75"/>
        <v>0</v>
      </c>
      <c r="G33" s="38"/>
      <c r="H33" s="2"/>
      <c r="I33" s="50">
        <f t="shared" si="73"/>
        <v>0</v>
      </c>
      <c r="J33" s="37" t="s">
        <v>30</v>
      </c>
      <c r="K33" s="37"/>
      <c r="L33" s="14"/>
      <c r="M33" s="16"/>
      <c r="N33" s="16"/>
      <c r="O33" s="51">
        <f t="shared" si="76"/>
        <v>0</v>
      </c>
      <c r="P33" s="17"/>
      <c r="Q33" s="51"/>
      <c r="R33" s="17"/>
      <c r="S33" s="43"/>
      <c r="T33" s="17"/>
      <c r="U33" s="3"/>
      <c r="V33" s="15" t="s">
        <v>30</v>
      </c>
      <c r="W33" s="18">
        <f t="shared" si="74"/>
        <v>0</v>
      </c>
      <c r="X33" s="19" t="e">
        <f t="shared" ref="X33:X38" si="80">W33/U33</f>
        <v>#DIV/0!</v>
      </c>
      <c r="Y33" s="4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</row>
    <row r="34" spans="1:170" s="6" customFormat="1" ht="20.25" customHeight="1">
      <c r="A34" s="10"/>
      <c r="B34" s="10"/>
      <c r="C34" s="49" t="e">
        <f t="shared" si="79"/>
        <v>#DIV/0!</v>
      </c>
      <c r="D34" s="38"/>
      <c r="E34" s="2"/>
      <c r="F34" s="50">
        <f t="shared" si="75"/>
        <v>0</v>
      </c>
      <c r="G34" s="38"/>
      <c r="H34" s="2"/>
      <c r="I34" s="50">
        <f t="shared" si="73"/>
        <v>0</v>
      </c>
      <c r="J34" s="37" t="s">
        <v>30</v>
      </c>
      <c r="K34" s="37"/>
      <c r="L34" s="14"/>
      <c r="M34" s="16"/>
      <c r="N34" s="16"/>
      <c r="O34" s="51">
        <f t="shared" si="76"/>
        <v>0</v>
      </c>
      <c r="P34" s="17"/>
      <c r="Q34" s="51"/>
      <c r="R34" s="17"/>
      <c r="S34" s="43"/>
      <c r="T34" s="17"/>
      <c r="U34" s="3"/>
      <c r="V34" s="15" t="s">
        <v>30</v>
      </c>
      <c r="W34" s="18">
        <f t="shared" si="74"/>
        <v>0</v>
      </c>
      <c r="X34" s="19" t="e">
        <f t="shared" si="80"/>
        <v>#DIV/0!</v>
      </c>
      <c r="Y34" s="41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</row>
    <row r="35" spans="1:170" s="6" customFormat="1" ht="20.25" customHeight="1">
      <c r="A35" s="10"/>
      <c r="B35" s="10"/>
      <c r="C35" s="49" t="e">
        <f t="shared" si="79"/>
        <v>#DIV/0!</v>
      </c>
      <c r="D35" s="38"/>
      <c r="E35" s="2"/>
      <c r="F35" s="50">
        <f t="shared" si="75"/>
        <v>0</v>
      </c>
      <c r="G35" s="38"/>
      <c r="H35" s="2"/>
      <c r="I35" s="50">
        <f t="shared" si="73"/>
        <v>0</v>
      </c>
      <c r="J35" s="37" t="s">
        <v>30</v>
      </c>
      <c r="K35" s="37"/>
      <c r="L35" s="14"/>
      <c r="M35" s="16"/>
      <c r="N35" s="16"/>
      <c r="O35" s="51">
        <f t="shared" si="76"/>
        <v>0</v>
      </c>
      <c r="P35" s="17"/>
      <c r="Q35" s="51"/>
      <c r="R35" s="17"/>
      <c r="S35" s="43"/>
      <c r="T35" s="17"/>
      <c r="U35" s="3"/>
      <c r="V35" s="15" t="s">
        <v>30</v>
      </c>
      <c r="W35" s="18">
        <f t="shared" si="74"/>
        <v>0</v>
      </c>
      <c r="X35" s="19" t="e">
        <f t="shared" si="80"/>
        <v>#DIV/0!</v>
      </c>
      <c r="Y35" s="4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</row>
    <row r="36" spans="1:170" s="6" customFormat="1" ht="20.25" customHeight="1">
      <c r="A36" s="10"/>
      <c r="B36" s="10"/>
      <c r="C36" s="49" t="e">
        <f t="shared" si="79"/>
        <v>#DIV/0!</v>
      </c>
      <c r="D36" s="38"/>
      <c r="E36" s="2"/>
      <c r="F36" s="50">
        <f t="shared" si="75"/>
        <v>0</v>
      </c>
      <c r="G36" s="38"/>
      <c r="H36" s="2"/>
      <c r="I36" s="50">
        <f t="shared" si="73"/>
        <v>0</v>
      </c>
      <c r="J36" s="37" t="s">
        <v>30</v>
      </c>
      <c r="K36" s="37"/>
      <c r="L36" s="14"/>
      <c r="M36" s="16"/>
      <c r="N36" s="16"/>
      <c r="O36" s="51">
        <f t="shared" si="76"/>
        <v>0</v>
      </c>
      <c r="P36" s="17"/>
      <c r="Q36" s="51"/>
      <c r="R36" s="17"/>
      <c r="S36" s="43"/>
      <c r="T36" s="17"/>
      <c r="U36" s="3"/>
      <c r="V36" s="15" t="s">
        <v>30</v>
      </c>
      <c r="W36" s="18">
        <f t="shared" si="74"/>
        <v>0</v>
      </c>
      <c r="X36" s="19" t="e">
        <f t="shared" si="80"/>
        <v>#DIV/0!</v>
      </c>
      <c r="Y36" s="41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</row>
    <row r="37" spans="1:170" s="6" customFormat="1" ht="20.25" customHeight="1">
      <c r="A37" s="10"/>
      <c r="B37" s="10"/>
      <c r="C37" s="49" t="e">
        <f t="shared" si="79"/>
        <v>#DIV/0!</v>
      </c>
      <c r="D37" s="38"/>
      <c r="E37" s="2"/>
      <c r="F37" s="50">
        <f t="shared" si="75"/>
        <v>0</v>
      </c>
      <c r="G37" s="38"/>
      <c r="H37" s="2"/>
      <c r="I37" s="50">
        <f t="shared" si="73"/>
        <v>0</v>
      </c>
      <c r="J37" s="37" t="s">
        <v>30</v>
      </c>
      <c r="K37" s="37"/>
      <c r="L37" s="14"/>
      <c r="M37" s="16"/>
      <c r="N37" s="16"/>
      <c r="O37" s="51">
        <f t="shared" si="76"/>
        <v>0</v>
      </c>
      <c r="P37" s="17"/>
      <c r="Q37" s="51"/>
      <c r="R37" s="17"/>
      <c r="S37" s="43"/>
      <c r="T37" s="17"/>
      <c r="U37" s="3"/>
      <c r="V37" s="15" t="s">
        <v>30</v>
      </c>
      <c r="W37" s="18">
        <f t="shared" si="74"/>
        <v>0</v>
      </c>
      <c r="X37" s="19" t="e">
        <f t="shared" si="80"/>
        <v>#DIV/0!</v>
      </c>
      <c r="Y37" s="41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</row>
    <row r="38" spans="1:170" s="6" customFormat="1" ht="20.25" customHeight="1">
      <c r="A38" s="10"/>
      <c r="B38" s="10"/>
      <c r="C38" s="49" t="e">
        <f t="shared" si="79"/>
        <v>#DIV/0!</v>
      </c>
      <c r="D38" s="38"/>
      <c r="E38" s="2"/>
      <c r="F38" s="50">
        <f t="shared" si="75"/>
        <v>0</v>
      </c>
      <c r="G38" s="38"/>
      <c r="H38" s="2"/>
      <c r="I38" s="50">
        <f t="shared" si="73"/>
        <v>0</v>
      </c>
      <c r="J38" s="37" t="s">
        <v>30</v>
      </c>
      <c r="K38" s="52"/>
      <c r="L38" s="14"/>
      <c r="M38" s="16"/>
      <c r="N38" s="16"/>
      <c r="O38" s="51">
        <f t="shared" si="76"/>
        <v>0</v>
      </c>
      <c r="P38" s="17"/>
      <c r="Q38" s="51"/>
      <c r="R38" s="17"/>
      <c r="S38" s="43"/>
      <c r="T38" s="17"/>
      <c r="U38" s="3"/>
      <c r="V38" s="15" t="s">
        <v>30</v>
      </c>
      <c r="W38" s="18">
        <f t="shared" si="74"/>
        <v>0</v>
      </c>
      <c r="X38" s="19" t="e">
        <f t="shared" si="80"/>
        <v>#DIV/0!</v>
      </c>
      <c r="Y38" s="41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</row>
    <row r="39" spans="1:170" s="6" customFormat="1" ht="20.25" customHeight="1">
      <c r="A39" s="10"/>
      <c r="B39" s="10"/>
      <c r="C39" s="49" t="e">
        <f t="shared" si="79"/>
        <v>#DIV/0!</v>
      </c>
      <c r="D39" s="38"/>
      <c r="E39" s="2"/>
      <c r="F39" s="50">
        <f t="shared" si="75"/>
        <v>0</v>
      </c>
      <c r="G39" s="38"/>
      <c r="H39" s="2"/>
      <c r="I39" s="50">
        <f t="shared" si="73"/>
        <v>0</v>
      </c>
      <c r="J39" s="37" t="s">
        <v>30</v>
      </c>
      <c r="K39" s="37"/>
      <c r="L39" s="14"/>
      <c r="M39" s="16"/>
      <c r="N39" s="16"/>
      <c r="O39" s="51">
        <f t="shared" si="76"/>
        <v>0</v>
      </c>
      <c r="P39" s="17"/>
      <c r="Q39" s="51"/>
      <c r="R39" s="17"/>
      <c r="S39" s="43"/>
      <c r="T39" s="17"/>
      <c r="U39" s="3"/>
      <c r="V39" s="15" t="s">
        <v>30</v>
      </c>
      <c r="W39" s="18">
        <f t="shared" si="74"/>
        <v>0</v>
      </c>
      <c r="X39" s="19" t="e">
        <f t="shared" ref="X39" si="81">W39/U39</f>
        <v>#DIV/0!</v>
      </c>
      <c r="Y39" s="41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</row>
    <row r="40" spans="1:170"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1" spans="1:170" s="7" customFormat="1">
      <c r="F41" s="39"/>
      <c r="I41" s="8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pans="1:170" s="7" customFormat="1">
      <c r="F42" s="39"/>
      <c r="I42" s="8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</row>
    <row r="43" spans="1:170" s="7" customFormat="1">
      <c r="F43" s="39"/>
      <c r="I43" s="8"/>
      <c r="Z43" s="44"/>
      <c r="AA43" s="44"/>
      <c r="AB43" s="44"/>
      <c r="AC43" s="44"/>
      <c r="AD43" s="44"/>
      <c r="AE43" s="44"/>
      <c r="AF43" s="44"/>
      <c r="AG43" s="44"/>
      <c r="AH43" s="44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pans="1:170" s="7" customFormat="1">
      <c r="F44" s="39"/>
      <c r="I44" s="8"/>
      <c r="Z44" s="44"/>
      <c r="AA44" s="44"/>
      <c r="AB44" s="44"/>
      <c r="AC44" s="44"/>
      <c r="AD44" s="44"/>
      <c r="AE44" s="44"/>
      <c r="AF44" s="44"/>
      <c r="AG44" s="44"/>
      <c r="AH44" s="44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</row>
    <row r="45" spans="1:170" s="7" customFormat="1">
      <c r="F45" s="39"/>
      <c r="I45" s="8"/>
      <c r="Z45" s="44"/>
      <c r="AA45" s="44"/>
      <c r="AB45" s="44"/>
      <c r="AC45" s="44"/>
      <c r="AD45" s="44"/>
      <c r="AE45" s="44"/>
      <c r="AF45" s="44"/>
      <c r="AG45" s="44"/>
      <c r="AH45" s="44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pans="1:170" s="7" customFormat="1">
      <c r="F46" s="39"/>
      <c r="I46" s="8"/>
      <c r="Z46" s="44"/>
      <c r="AA46" s="44"/>
      <c r="AB46" s="44"/>
      <c r="AC46" s="44"/>
      <c r="AD46" s="44"/>
      <c r="AE46" s="44"/>
      <c r="AF46" s="44"/>
      <c r="AG46" s="44"/>
      <c r="AH46" s="44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</row>
    <row r="47" spans="1:170" s="7" customFormat="1">
      <c r="F47" s="39"/>
      <c r="I47" s="8"/>
      <c r="Z47" s="44"/>
      <c r="AA47" s="44"/>
      <c r="AB47" s="44"/>
      <c r="AC47" s="44"/>
      <c r="AD47" s="44"/>
      <c r="AE47" s="44"/>
      <c r="AF47" s="44"/>
      <c r="AG47" s="44"/>
      <c r="AH47" s="44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pans="1:170" s="7" customFormat="1">
      <c r="F48" s="39"/>
      <c r="I48" s="8"/>
      <c r="Z48" s="44"/>
      <c r="AA48" s="44"/>
      <c r="AB48" s="44"/>
      <c r="AC48" s="44"/>
      <c r="AD48" s="44"/>
      <c r="AE48" s="44"/>
      <c r="AF48" s="44"/>
      <c r="AG48" s="44"/>
      <c r="AH48" s="44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</row>
    <row r="49" spans="6:170" s="7" customFormat="1">
      <c r="F49" s="39"/>
      <c r="I49" s="8"/>
      <c r="Z49" s="44"/>
      <c r="AA49" s="44"/>
      <c r="AB49" s="44"/>
      <c r="AC49" s="44"/>
      <c r="AD49" s="44"/>
      <c r="AE49" s="44"/>
      <c r="AF49" s="44"/>
      <c r="AG49" s="44"/>
      <c r="AH49" s="44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pans="6:170" s="7" customFormat="1">
      <c r="F50" s="39"/>
      <c r="I50" s="8"/>
      <c r="Z50" s="44"/>
      <c r="AA50" s="44"/>
      <c r="AB50" s="44"/>
      <c r="AC50" s="44"/>
      <c r="AD50" s="44"/>
      <c r="AE50" s="44"/>
      <c r="AF50" s="44"/>
      <c r="AG50" s="44"/>
      <c r="AH50" s="44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</row>
    <row r="51" spans="6:170" s="7" customFormat="1">
      <c r="F51" s="39"/>
      <c r="I51" s="8"/>
      <c r="Z51" s="44"/>
      <c r="AA51" s="44"/>
      <c r="AB51" s="44"/>
      <c r="AC51" s="44"/>
      <c r="AD51" s="44"/>
      <c r="AE51" s="44"/>
      <c r="AF51" s="44"/>
      <c r="AG51" s="44"/>
      <c r="AH51" s="44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</row>
    <row r="52" spans="6:170" s="7" customFormat="1">
      <c r="F52" s="39"/>
      <c r="I52" s="8"/>
      <c r="Z52" s="44"/>
      <c r="AA52" s="44"/>
      <c r="AB52" s="44"/>
      <c r="AC52" s="44"/>
      <c r="AD52" s="44"/>
      <c r="AE52" s="44"/>
      <c r="AF52" s="44"/>
      <c r="AG52" s="44"/>
      <c r="AH52" s="44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</row>
    <row r="53" spans="6:170" s="7" customFormat="1">
      <c r="F53" s="39"/>
      <c r="I53" s="8"/>
      <c r="Z53" s="44"/>
      <c r="AA53" s="44"/>
      <c r="AB53" s="44"/>
      <c r="AC53" s="44"/>
      <c r="AD53" s="44"/>
      <c r="AE53" s="44"/>
      <c r="AF53" s="44"/>
      <c r="AG53" s="44"/>
      <c r="AH53" s="44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</row>
    <row r="54" spans="6:170" s="7" customFormat="1">
      <c r="F54" s="39"/>
      <c r="I54" s="8"/>
      <c r="Z54" s="44"/>
      <c r="AA54" s="44"/>
      <c r="AB54" s="44"/>
      <c r="AC54" s="44"/>
      <c r="AD54" s="44"/>
      <c r="AE54" s="44"/>
      <c r="AF54" s="44"/>
      <c r="AG54" s="44"/>
      <c r="AH54" s="44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</row>
    <row r="55" spans="6:170" s="7" customFormat="1">
      <c r="F55" s="39"/>
      <c r="I55" s="8"/>
      <c r="Z55" s="44"/>
      <c r="AA55" s="44"/>
      <c r="AB55" s="44"/>
      <c r="AC55" s="44"/>
      <c r="AD55" s="44"/>
      <c r="AE55" s="44"/>
      <c r="AF55" s="44"/>
      <c r="AG55" s="44"/>
      <c r="AH55" s="44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</row>
    <row r="56" spans="6:170" s="7" customFormat="1">
      <c r="F56" s="39"/>
      <c r="I56" s="8"/>
      <c r="Z56" s="44"/>
      <c r="AA56" s="44"/>
      <c r="AB56" s="44"/>
      <c r="AC56" s="44"/>
      <c r="AD56" s="44"/>
      <c r="AE56" s="44"/>
      <c r="AF56" s="44"/>
      <c r="AG56" s="44"/>
      <c r="AH56" s="44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</row>
    <row r="57" spans="6:170" s="7" customFormat="1">
      <c r="F57" s="39"/>
      <c r="I57" s="8"/>
      <c r="Z57" s="44"/>
      <c r="AA57" s="44"/>
      <c r="AB57" s="44"/>
      <c r="AC57" s="44"/>
      <c r="AD57" s="44"/>
      <c r="AE57" s="44"/>
      <c r="AF57" s="44"/>
      <c r="AG57" s="44"/>
      <c r="AH57" s="44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</row>
    <row r="58" spans="6:170" s="7" customFormat="1">
      <c r="F58" s="39"/>
      <c r="I58" s="8"/>
      <c r="Z58" s="44"/>
      <c r="AA58" s="44"/>
      <c r="AB58" s="44"/>
      <c r="AC58" s="44"/>
      <c r="AD58" s="44"/>
      <c r="AE58" s="44"/>
      <c r="AF58" s="44"/>
      <c r="AG58" s="44"/>
      <c r="AH58" s="44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</row>
    <row r="59" spans="6:170" s="7" customFormat="1">
      <c r="F59" s="39"/>
      <c r="I59" s="8"/>
      <c r="Z59" s="44"/>
      <c r="AA59" s="44"/>
      <c r="AB59" s="44"/>
      <c r="AC59" s="44"/>
      <c r="AD59" s="44"/>
      <c r="AE59" s="44"/>
      <c r="AF59" s="44"/>
      <c r="AG59" s="44"/>
      <c r="AH59" s="44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</row>
    <row r="60" spans="6:170" s="7" customFormat="1">
      <c r="F60" s="39"/>
      <c r="I60" s="8"/>
      <c r="Z60" s="44"/>
      <c r="AA60" s="44"/>
      <c r="AB60" s="44"/>
      <c r="AC60" s="44"/>
      <c r="AD60" s="44"/>
      <c r="AE60" s="44"/>
      <c r="AF60" s="44"/>
      <c r="AG60" s="44"/>
      <c r="AH60" s="44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</row>
    <row r="61" spans="6:170" s="7" customFormat="1">
      <c r="F61" s="39"/>
      <c r="I61" s="8"/>
      <c r="Z61" s="44"/>
      <c r="AA61" s="44"/>
      <c r="AB61" s="44"/>
      <c r="AC61" s="44"/>
      <c r="AD61" s="44"/>
      <c r="AE61" s="44"/>
      <c r="AF61" s="44"/>
      <c r="AG61" s="44"/>
      <c r="AH61" s="44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</row>
    <row r="62" spans="6:170" s="7" customFormat="1">
      <c r="F62" s="39"/>
      <c r="I62" s="8"/>
      <c r="Z62" s="44"/>
      <c r="AA62" s="44"/>
      <c r="AB62" s="44"/>
      <c r="AC62" s="44"/>
      <c r="AD62" s="44"/>
      <c r="AE62" s="44"/>
      <c r="AF62" s="44"/>
      <c r="AG62" s="44"/>
      <c r="AH62" s="44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</row>
    <row r="63" spans="6:170" s="7" customFormat="1">
      <c r="F63" s="39"/>
      <c r="I63" s="8"/>
      <c r="Z63" s="44"/>
      <c r="AA63" s="44"/>
      <c r="AB63" s="44"/>
      <c r="AC63" s="44"/>
      <c r="AD63" s="44"/>
      <c r="AE63" s="44"/>
      <c r="AF63" s="44"/>
      <c r="AG63" s="44"/>
      <c r="AH63" s="44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</row>
    <row r="64" spans="6:170" s="7" customFormat="1">
      <c r="F64" s="39"/>
      <c r="I64" s="8"/>
      <c r="Z64" s="44"/>
      <c r="AA64" s="44"/>
      <c r="AB64" s="44"/>
      <c r="AC64" s="44"/>
      <c r="AD64" s="44"/>
      <c r="AE64" s="44"/>
      <c r="AF64" s="44"/>
      <c r="AG64" s="44"/>
      <c r="AH64" s="44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</row>
    <row r="65" spans="6:170" s="7" customFormat="1">
      <c r="F65" s="39"/>
      <c r="I65" s="8"/>
      <c r="Z65" s="44"/>
      <c r="AA65" s="44"/>
      <c r="AB65" s="44"/>
      <c r="AC65" s="44"/>
      <c r="AD65" s="44"/>
      <c r="AE65" s="44"/>
      <c r="AF65" s="44"/>
      <c r="AG65" s="44"/>
      <c r="AH65" s="44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</row>
    <row r="66" spans="6:170" s="7" customFormat="1">
      <c r="F66" s="39"/>
      <c r="I66" s="8"/>
      <c r="Z66" s="44"/>
      <c r="AA66" s="44"/>
      <c r="AB66" s="44"/>
      <c r="AC66" s="44"/>
      <c r="AD66" s="44"/>
      <c r="AE66" s="44"/>
      <c r="AF66" s="44"/>
      <c r="AG66" s="44"/>
      <c r="AH66" s="44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</row>
    <row r="67" spans="6:170" s="7" customFormat="1">
      <c r="F67" s="39"/>
      <c r="I67" s="8"/>
      <c r="Z67" s="44"/>
      <c r="AA67" s="44"/>
      <c r="AB67" s="44"/>
      <c r="AC67" s="44"/>
      <c r="AD67" s="44"/>
      <c r="AE67" s="44"/>
      <c r="AF67" s="44"/>
      <c r="AG67" s="44"/>
      <c r="AH67" s="44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</row>
    <row r="68" spans="6:170" s="7" customFormat="1">
      <c r="F68" s="39"/>
      <c r="I68" s="8"/>
      <c r="Z68" s="44"/>
      <c r="AA68" s="44"/>
      <c r="AB68" s="44"/>
      <c r="AC68" s="44"/>
      <c r="AD68" s="44"/>
      <c r="AE68" s="44"/>
      <c r="AF68" s="44"/>
      <c r="AG68" s="44"/>
      <c r="AH68" s="44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</row>
    <row r="69" spans="6:170" s="7" customFormat="1">
      <c r="F69" s="39"/>
      <c r="I69" s="8"/>
      <c r="Z69" s="44"/>
      <c r="AA69" s="44"/>
      <c r="AB69" s="44"/>
      <c r="AC69" s="44"/>
      <c r="AD69" s="44"/>
      <c r="AE69" s="44"/>
      <c r="AF69" s="44"/>
      <c r="AG69" s="44"/>
      <c r="AH69" s="44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</row>
    <row r="70" spans="6:170" s="7" customFormat="1">
      <c r="F70" s="39"/>
      <c r="I70" s="8"/>
      <c r="Z70" s="44"/>
      <c r="AA70" s="44"/>
      <c r="AB70" s="44"/>
      <c r="AC70" s="44"/>
      <c r="AD70" s="44"/>
      <c r="AE70" s="44"/>
      <c r="AF70" s="44"/>
      <c r="AG70" s="44"/>
      <c r="AH70" s="44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</row>
    <row r="71" spans="6:170" s="7" customFormat="1">
      <c r="F71" s="39"/>
      <c r="I71" s="8"/>
      <c r="Z71" s="44"/>
      <c r="AA71" s="44"/>
      <c r="AB71" s="44"/>
      <c r="AC71" s="44"/>
      <c r="AD71" s="44"/>
      <c r="AE71" s="44"/>
      <c r="AF71" s="44"/>
      <c r="AG71" s="44"/>
      <c r="AH71" s="44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</row>
    <row r="72" spans="6:170" s="7" customFormat="1">
      <c r="F72" s="39"/>
      <c r="I72" s="8"/>
      <c r="Z72" s="44"/>
      <c r="AA72" s="44"/>
      <c r="AB72" s="44"/>
      <c r="AC72" s="44"/>
      <c r="AD72" s="44"/>
      <c r="AE72" s="44"/>
      <c r="AF72" s="44"/>
      <c r="AG72" s="44"/>
      <c r="AH72" s="44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</row>
    <row r="73" spans="6:170" s="7" customFormat="1">
      <c r="F73" s="39"/>
      <c r="I73" s="8"/>
      <c r="Z73" s="44"/>
      <c r="AA73" s="44"/>
      <c r="AB73" s="44"/>
      <c r="AC73" s="44"/>
      <c r="AD73" s="44"/>
      <c r="AE73" s="44"/>
      <c r="AF73" s="44"/>
      <c r="AG73" s="44"/>
      <c r="AH73" s="44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</row>
    <row r="74" spans="6:170" s="7" customFormat="1">
      <c r="F74" s="39"/>
      <c r="I74" s="8"/>
      <c r="Z74" s="44"/>
      <c r="AA74" s="44"/>
      <c r="AB74" s="44"/>
      <c r="AC74" s="44"/>
      <c r="AD74" s="44"/>
      <c r="AE74" s="44"/>
      <c r="AF74" s="44"/>
      <c r="AG74" s="44"/>
      <c r="AH74" s="44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</row>
    <row r="75" spans="6:170" s="7" customFormat="1">
      <c r="F75" s="39"/>
      <c r="I75" s="8"/>
      <c r="Z75" s="44"/>
      <c r="AA75" s="44"/>
      <c r="AB75" s="44"/>
      <c r="AC75" s="44"/>
      <c r="AD75" s="44"/>
      <c r="AE75" s="44"/>
      <c r="AF75" s="44"/>
      <c r="AG75" s="44"/>
      <c r="AH75" s="44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</row>
    <row r="76" spans="6:170" s="7" customFormat="1">
      <c r="F76" s="39"/>
      <c r="I76" s="8"/>
      <c r="Z76" s="44"/>
      <c r="AA76" s="44"/>
      <c r="AB76" s="44"/>
      <c r="AC76" s="44"/>
      <c r="AD76" s="44"/>
      <c r="AE76" s="44"/>
      <c r="AF76" s="44"/>
      <c r="AG76" s="44"/>
      <c r="AH76" s="44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</row>
    <row r="77" spans="6:170" s="7" customFormat="1">
      <c r="F77" s="39"/>
      <c r="I77" s="8"/>
      <c r="Z77" s="44"/>
      <c r="AA77" s="44"/>
      <c r="AB77" s="44"/>
      <c r="AC77" s="44"/>
      <c r="AD77" s="44"/>
      <c r="AE77" s="44"/>
      <c r="AF77" s="44"/>
      <c r="AG77" s="44"/>
      <c r="AH77" s="44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</row>
    <row r="78" spans="6:170" s="7" customFormat="1">
      <c r="F78" s="39"/>
      <c r="I78" s="8"/>
      <c r="Z78" s="44"/>
      <c r="AA78" s="44"/>
      <c r="AB78" s="44"/>
      <c r="AC78" s="44"/>
      <c r="AD78" s="44"/>
      <c r="AE78" s="44"/>
      <c r="AF78" s="44"/>
      <c r="AG78" s="44"/>
      <c r="AH78" s="44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</row>
    <row r="79" spans="6:170" s="7" customFormat="1">
      <c r="F79" s="39"/>
      <c r="I79" s="8"/>
      <c r="Z79" s="44"/>
      <c r="AA79" s="44"/>
      <c r="AB79" s="44"/>
      <c r="AC79" s="44"/>
      <c r="AD79" s="44"/>
      <c r="AE79" s="44"/>
      <c r="AF79" s="44"/>
      <c r="AG79" s="44"/>
      <c r="AH79" s="44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</row>
    <row r="80" spans="6:170" s="7" customFormat="1">
      <c r="F80" s="39"/>
      <c r="I80" s="8"/>
      <c r="Z80" s="44"/>
      <c r="AA80" s="44"/>
      <c r="AB80" s="44"/>
      <c r="AC80" s="44"/>
      <c r="AD80" s="44"/>
      <c r="AE80" s="44"/>
      <c r="AF80" s="44"/>
      <c r="AG80" s="44"/>
      <c r="AH80" s="44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</row>
    <row r="81" spans="6:170" s="7" customFormat="1">
      <c r="F81" s="39"/>
      <c r="I81" s="8"/>
      <c r="Z81" s="44"/>
      <c r="AA81" s="44"/>
      <c r="AB81" s="44"/>
      <c r="AC81" s="44"/>
      <c r="AD81" s="44"/>
      <c r="AE81" s="44"/>
      <c r="AF81" s="44"/>
      <c r="AG81" s="44"/>
      <c r="AH81" s="44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</row>
    <row r="82" spans="6:170" s="7" customFormat="1">
      <c r="F82" s="39"/>
      <c r="I82" s="8"/>
      <c r="Z82" s="44"/>
      <c r="AA82" s="44"/>
      <c r="AB82" s="44"/>
      <c r="AC82" s="44"/>
      <c r="AD82" s="44"/>
      <c r="AE82" s="44"/>
      <c r="AF82" s="44"/>
      <c r="AG82" s="44"/>
      <c r="AH82" s="44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</row>
    <row r="83" spans="6:170" s="7" customFormat="1">
      <c r="F83" s="39"/>
      <c r="I83" s="8"/>
      <c r="Z83" s="44"/>
      <c r="AA83" s="44"/>
      <c r="AB83" s="44"/>
      <c r="AC83" s="44"/>
      <c r="AD83" s="44"/>
      <c r="AE83" s="44"/>
      <c r="AF83" s="44"/>
      <c r="AG83" s="44"/>
      <c r="AH83" s="44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</row>
    <row r="84" spans="6:170" s="7" customFormat="1">
      <c r="F84" s="39"/>
      <c r="I84" s="8"/>
      <c r="Z84" s="44"/>
      <c r="AA84" s="44"/>
      <c r="AB84" s="44"/>
      <c r="AC84" s="44"/>
      <c r="AD84" s="44"/>
      <c r="AE84" s="44"/>
      <c r="AF84" s="44"/>
      <c r="AG84" s="44"/>
      <c r="AH84" s="44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</row>
    <row r="85" spans="6:170" s="7" customFormat="1">
      <c r="F85" s="39"/>
      <c r="I85" s="8"/>
      <c r="Z85" s="44"/>
      <c r="AA85" s="44"/>
      <c r="AB85" s="44"/>
      <c r="AC85" s="44"/>
      <c r="AD85" s="44"/>
      <c r="AE85" s="44"/>
      <c r="AF85" s="44"/>
      <c r="AG85" s="44"/>
      <c r="AH85" s="44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</row>
    <row r="86" spans="6:170" s="7" customFormat="1">
      <c r="F86" s="39"/>
      <c r="I86" s="8"/>
      <c r="Z86" s="44"/>
      <c r="AA86" s="44"/>
      <c r="AB86" s="44"/>
      <c r="AC86" s="44"/>
      <c r="AD86" s="44"/>
      <c r="AE86" s="44"/>
      <c r="AF86" s="44"/>
      <c r="AG86" s="44"/>
      <c r="AH86" s="44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</row>
    <row r="87" spans="6:170" s="7" customFormat="1">
      <c r="F87" s="39"/>
      <c r="I87" s="8"/>
      <c r="Z87" s="44"/>
      <c r="AA87" s="44"/>
      <c r="AB87" s="44"/>
      <c r="AC87" s="44"/>
      <c r="AD87" s="44"/>
      <c r="AE87" s="44"/>
      <c r="AF87" s="44"/>
      <c r="AG87" s="44"/>
      <c r="AH87" s="44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</row>
    <row r="88" spans="6:170" s="7" customFormat="1">
      <c r="F88" s="39"/>
      <c r="I88" s="8"/>
      <c r="Z88" s="44"/>
      <c r="AA88" s="44"/>
      <c r="AB88" s="44"/>
      <c r="AC88" s="44"/>
      <c r="AD88" s="44"/>
      <c r="AE88" s="44"/>
      <c r="AF88" s="44"/>
      <c r="AG88" s="44"/>
      <c r="AH88" s="44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</row>
    <row r="89" spans="6:170" s="7" customFormat="1">
      <c r="F89" s="39"/>
      <c r="I89" s="8"/>
      <c r="Z89" s="44"/>
      <c r="AA89" s="44"/>
      <c r="AB89" s="44"/>
      <c r="AC89" s="44"/>
      <c r="AD89" s="44"/>
      <c r="AE89" s="44"/>
      <c r="AF89" s="44"/>
      <c r="AG89" s="44"/>
      <c r="AH89" s="44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</row>
    <row r="90" spans="6:170" s="7" customFormat="1">
      <c r="F90" s="39"/>
      <c r="I90" s="8"/>
      <c r="Z90" s="44"/>
      <c r="AA90" s="44"/>
      <c r="AB90" s="44"/>
      <c r="AC90" s="44"/>
      <c r="AD90" s="44"/>
      <c r="AE90" s="44"/>
      <c r="AF90" s="44"/>
      <c r="AG90" s="44"/>
      <c r="AH90" s="44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</row>
    <row r="91" spans="6:170" s="7" customFormat="1">
      <c r="F91" s="39"/>
      <c r="I91" s="8"/>
      <c r="Z91" s="44"/>
      <c r="AA91" s="44"/>
      <c r="AB91" s="44"/>
      <c r="AC91" s="44"/>
      <c r="AD91" s="44"/>
      <c r="AE91" s="44"/>
      <c r="AF91" s="44"/>
      <c r="AG91" s="44"/>
      <c r="AH91" s="44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</row>
    <row r="92" spans="6:170" s="7" customFormat="1">
      <c r="F92" s="39"/>
      <c r="I92" s="8"/>
      <c r="Z92" s="44"/>
      <c r="AA92" s="44"/>
      <c r="AB92" s="44"/>
      <c r="AC92" s="44"/>
      <c r="AD92" s="44"/>
      <c r="AE92" s="44"/>
      <c r="AF92" s="44"/>
      <c r="AG92" s="44"/>
      <c r="AH92" s="44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</row>
    <row r="93" spans="6:170" s="7" customFormat="1">
      <c r="F93" s="39"/>
      <c r="I93" s="8"/>
      <c r="Z93" s="44"/>
      <c r="AA93" s="44"/>
      <c r="AB93" s="44"/>
      <c r="AC93" s="44"/>
      <c r="AD93" s="44"/>
      <c r="AE93" s="44"/>
      <c r="AF93" s="44"/>
      <c r="AG93" s="44"/>
      <c r="AH93" s="44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</row>
    <row r="94" spans="6:170" s="7" customFormat="1">
      <c r="F94" s="39"/>
      <c r="I94" s="8"/>
      <c r="Z94" s="44"/>
      <c r="AA94" s="44"/>
      <c r="AB94" s="44"/>
      <c r="AC94" s="44"/>
      <c r="AD94" s="44"/>
      <c r="AE94" s="44"/>
      <c r="AF94" s="44"/>
      <c r="AG94" s="44"/>
      <c r="AH94" s="44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</row>
    <row r="95" spans="6:170" s="7" customFormat="1">
      <c r="F95" s="39"/>
      <c r="I95" s="8"/>
      <c r="Z95" s="44"/>
      <c r="AA95" s="44"/>
      <c r="AB95" s="44"/>
      <c r="AC95" s="44"/>
      <c r="AD95" s="44"/>
      <c r="AE95" s="44"/>
      <c r="AF95" s="44"/>
      <c r="AG95" s="44"/>
      <c r="AH95" s="44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</row>
    <row r="96" spans="6:170" s="7" customFormat="1">
      <c r="F96" s="39"/>
      <c r="I96" s="8"/>
      <c r="Z96" s="44"/>
      <c r="AA96" s="44"/>
      <c r="AB96" s="44"/>
      <c r="AC96" s="44"/>
      <c r="AD96" s="44"/>
      <c r="AE96" s="44"/>
      <c r="AF96" s="44"/>
      <c r="AG96" s="44"/>
      <c r="AH96" s="44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</row>
  </sheetData>
  <mergeCells count="39">
    <mergeCell ref="A2:A3"/>
    <mergeCell ref="CW1:CY1"/>
    <mergeCell ref="CE1:CM1"/>
    <mergeCell ref="CN1:CS1"/>
    <mergeCell ref="CT1:CV1"/>
    <mergeCell ref="A1:W1"/>
    <mergeCell ref="T2:T3"/>
    <mergeCell ref="U2:U3"/>
    <mergeCell ref="V2:V3"/>
    <mergeCell ref="J2:J3"/>
    <mergeCell ref="L2:L3"/>
    <mergeCell ref="M2:M3"/>
    <mergeCell ref="N2:N3"/>
    <mergeCell ref="O2:O3"/>
    <mergeCell ref="K2:K3"/>
    <mergeCell ref="P2:P3"/>
    <mergeCell ref="J9:K9"/>
    <mergeCell ref="J10:K10"/>
    <mergeCell ref="J5:K5"/>
    <mergeCell ref="J6:K6"/>
    <mergeCell ref="A4:S4"/>
    <mergeCell ref="J7:K7"/>
    <mergeCell ref="J8:K8"/>
    <mergeCell ref="W2:W3"/>
    <mergeCell ref="Z1:AK1"/>
    <mergeCell ref="AL1:CD1"/>
    <mergeCell ref="B2:B3"/>
    <mergeCell ref="H2:H3"/>
    <mergeCell ref="I2:I3"/>
    <mergeCell ref="X1:Y1"/>
    <mergeCell ref="C2:C3"/>
    <mergeCell ref="D2:D3"/>
    <mergeCell ref="E2:E3"/>
    <mergeCell ref="F2:F3"/>
    <mergeCell ref="G2:G3"/>
    <mergeCell ref="X2:X3"/>
    <mergeCell ref="Y2:Y3"/>
    <mergeCell ref="R2:R3"/>
    <mergeCell ref="S2:S3"/>
  </mergeCells>
  <printOptions horizontalCentered="1"/>
  <pageMargins left="0" right="0" top="0" bottom="0" header="0.3" footer="0.3"/>
  <pageSetup paperSize="9" scale="1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2025-12-06T09:09:07Z</cp:lastPrinted>
  <dcterms:created xsi:type="dcterms:W3CDTF">2023-12-12T04:01:42Z</dcterms:created>
  <dcterms:modified xsi:type="dcterms:W3CDTF">2026-07-01T04:13:50Z</dcterms:modified>
</cp:coreProperties>
</file>