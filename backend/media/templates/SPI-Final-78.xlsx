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Forhath PC\Downloads\"/>
    </mc:Choice>
  </mc:AlternateContent>
  <xr:revisionPtr revIDLastSave="0" documentId="13_ncr:1_{6C632680-759C-4D56-9223-4DBEE97FDBF7}" xr6:coauthVersionLast="47" xr6:coauthVersionMax="47" xr10:uidLastSave="{00000000-0000-0000-0000-000000000000}"/>
  <bookViews>
    <workbookView xWindow="-120" yWindow="-120" windowWidth="29040" windowHeight="16440" tabRatio="570" firstSheet="2" activeTab="4" xr2:uid="{00000000-000D-0000-FFFF-FFFF00000000}"/>
  </bookViews>
  <sheets>
    <sheet name="Helper-1" sheetId="10" state="hidden" r:id="rId1"/>
    <sheet name="Helper-2" sheetId="11" state="hidden" r:id="rId2"/>
    <sheet name="Final" sheetId="6" r:id="rId3"/>
    <sheet name="Re-Final" sheetId="9" r:id="rId4"/>
    <sheet name="INLINE" sheetId="8" r:id="rId5"/>
  </sheets>
  <definedNames>
    <definedName name="_xlnm.Print_Area" localSheetId="2">Final!$A$1:$CY$40</definedName>
    <definedName name="_xlnm.Print_Area" localSheetId="4">INLINE!$A$1:$BC$12</definedName>
    <definedName name="_xlnm.Print_Area" localSheetId="3">'Re-Final'!$A$1:$CY$22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4" i="8" l="1"/>
  <c r="V4" i="8"/>
  <c r="W4" i="8"/>
  <c r="X4" i="8"/>
  <c r="Y4" i="8"/>
  <c r="Z4" i="8"/>
  <c r="AA4" i="9"/>
  <c r="AB4" i="9"/>
  <c r="AC4" i="9"/>
  <c r="AD4" i="9"/>
  <c r="AE4" i="9"/>
  <c r="AF4" i="9"/>
  <c r="AG4" i="9"/>
  <c r="AH4" i="9"/>
  <c r="AI4" i="9"/>
  <c r="AJ4" i="9"/>
  <c r="AK4" i="9"/>
  <c r="AL4" i="9"/>
  <c r="AM4" i="9"/>
  <c r="AN4" i="9"/>
  <c r="AO4" i="9"/>
  <c r="AP4" i="9"/>
  <c r="AQ4" i="9"/>
  <c r="AR4" i="9"/>
  <c r="AS4" i="9"/>
  <c r="AT4" i="9"/>
  <c r="AU4" i="9"/>
  <c r="AV4" i="9"/>
  <c r="AW4" i="9"/>
  <c r="AX4" i="9"/>
  <c r="AY4" i="9"/>
  <c r="AZ4" i="9"/>
  <c r="BA4" i="9"/>
  <c r="BB4" i="9"/>
  <c r="BC4" i="9"/>
  <c r="BD4" i="9"/>
  <c r="BE4" i="9"/>
  <c r="BF4" i="9"/>
  <c r="BG4" i="9"/>
  <c r="BH4" i="9"/>
  <c r="BI4" i="9"/>
  <c r="BJ4" i="9"/>
  <c r="BK4" i="9"/>
  <c r="BL4" i="9"/>
  <c r="BM4" i="9"/>
  <c r="BN4" i="9"/>
  <c r="BO4" i="9"/>
  <c r="BP4" i="9"/>
  <c r="BQ4" i="9"/>
  <c r="BR4" i="9"/>
  <c r="BS4" i="9"/>
  <c r="BT4" i="9"/>
  <c r="BU4" i="9"/>
  <c r="BV4" i="9"/>
  <c r="BW4" i="9"/>
  <c r="BX4" i="9"/>
  <c r="BY4" i="9"/>
  <c r="BZ4" i="9"/>
  <c r="CA4" i="9"/>
  <c r="CB4" i="9"/>
  <c r="CC4" i="9"/>
  <c r="CD4" i="9"/>
  <c r="CE4" i="9"/>
  <c r="CF4" i="9"/>
  <c r="CG4" i="9"/>
  <c r="CH4" i="9"/>
  <c r="CI4" i="9"/>
  <c r="CJ4" i="9"/>
  <c r="CK4" i="9"/>
  <c r="CL4" i="9"/>
  <c r="CM4" i="9"/>
  <c r="CN4" i="9"/>
  <c r="CO4" i="9"/>
  <c r="CP4" i="9"/>
  <c r="CQ4" i="9"/>
  <c r="CR4" i="9"/>
  <c r="CS4" i="9"/>
  <c r="CT4" i="9"/>
  <c r="CU4" i="9"/>
  <c r="CV4" i="9"/>
  <c r="CW4" i="9"/>
  <c r="CX4" i="9"/>
  <c r="CY4" i="9"/>
  <c r="Z4" i="9"/>
  <c r="W4" i="9"/>
  <c r="U4" i="9"/>
  <c r="T4" i="9"/>
  <c r="AB4" i="6"/>
  <c r="AC4" i="6"/>
  <c r="AD4" i="6"/>
  <c r="AE4" i="6"/>
  <c r="AF4" i="6"/>
  <c r="AG4" i="6"/>
  <c r="AH4" i="6"/>
  <c r="AI4" i="6"/>
  <c r="AJ4" i="6"/>
  <c r="AK4" i="6"/>
  <c r="AL4" i="6"/>
  <c r="AM4" i="6"/>
  <c r="AN4" i="6"/>
  <c r="AO4" i="6"/>
  <c r="AP4" i="6"/>
  <c r="AQ4" i="6"/>
  <c r="AR4" i="6"/>
  <c r="AS4" i="6"/>
  <c r="AT4" i="6"/>
  <c r="AU4" i="6"/>
  <c r="AV4" i="6"/>
  <c r="AW4" i="6"/>
  <c r="AX4" i="6"/>
  <c r="AY4" i="6"/>
  <c r="AZ4" i="6"/>
  <c r="BA4" i="6"/>
  <c r="BB4" i="6"/>
  <c r="BC4" i="6"/>
  <c r="BD4" i="6"/>
  <c r="BE4" i="6"/>
  <c r="BF4" i="6"/>
  <c r="BG4" i="6"/>
  <c r="BH4" i="6"/>
  <c r="BI4" i="6"/>
  <c r="BJ4" i="6"/>
  <c r="BK4" i="6"/>
  <c r="BL4" i="6"/>
  <c r="BM4" i="6"/>
  <c r="BN4" i="6"/>
  <c r="BO4" i="6"/>
  <c r="BP4" i="6"/>
  <c r="BQ4" i="6"/>
  <c r="BR4" i="6"/>
  <c r="BS4" i="6"/>
  <c r="BT4" i="6"/>
  <c r="BU4" i="6"/>
  <c r="BV4" i="6"/>
  <c r="BW4" i="6"/>
  <c r="BX4" i="6"/>
  <c r="BY4" i="6"/>
  <c r="BZ4" i="6"/>
  <c r="CA4" i="6"/>
  <c r="CB4" i="6"/>
  <c r="CC4" i="6"/>
  <c r="CD4" i="6"/>
  <c r="CE4" i="6"/>
  <c r="CF4" i="6"/>
  <c r="CG4" i="6"/>
  <c r="CH4" i="6"/>
  <c r="CI4" i="6"/>
  <c r="CJ4" i="6"/>
  <c r="CK4" i="6"/>
  <c r="CL4" i="6"/>
  <c r="CM4" i="6"/>
  <c r="CN4" i="6"/>
  <c r="CO4" i="6"/>
  <c r="CP4" i="6"/>
  <c r="CQ4" i="6"/>
  <c r="CR4" i="6"/>
  <c r="CS4" i="6"/>
  <c r="CT4" i="6"/>
  <c r="CU4" i="6"/>
  <c r="CV4" i="6"/>
  <c r="CW4" i="6"/>
  <c r="CX4" i="6"/>
  <c r="CY4" i="6"/>
  <c r="AA4" i="6"/>
  <c r="Z4" i="6"/>
  <c r="U4" i="6"/>
  <c r="T4" i="6"/>
  <c r="I12" i="8"/>
  <c r="F11" i="8"/>
  <c r="F12" i="8"/>
  <c r="I11" i="8"/>
  <c r="O11" i="8"/>
  <c r="O12" i="8"/>
  <c r="R11" i="8"/>
  <c r="S11" i="8" s="1"/>
  <c r="R12" i="8"/>
  <c r="S12" i="8" s="1"/>
  <c r="O9" i="8" l="1"/>
  <c r="O10" i="8"/>
  <c r="R9" i="8"/>
  <c r="S9" i="8" s="1"/>
  <c r="R10" i="8"/>
  <c r="S10" i="8" s="1"/>
  <c r="I9" i="8"/>
  <c r="I10" i="8"/>
  <c r="F10" i="8"/>
  <c r="F9" i="8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25" i="6"/>
  <c r="C26" i="6"/>
  <c r="C24" i="6" l="1"/>
  <c r="W23" i="6"/>
  <c r="X23" i="6" s="1"/>
  <c r="O23" i="6"/>
  <c r="I23" i="6"/>
  <c r="F23" i="6"/>
  <c r="C23" i="6"/>
  <c r="W22" i="6"/>
  <c r="X22" i="6" s="1"/>
  <c r="O22" i="6"/>
  <c r="I22" i="6"/>
  <c r="F22" i="6"/>
  <c r="C22" i="6"/>
  <c r="W21" i="6"/>
  <c r="X21" i="6" s="1"/>
  <c r="O21" i="6"/>
  <c r="I21" i="6"/>
  <c r="F21" i="6"/>
  <c r="C21" i="6"/>
  <c r="W20" i="6"/>
  <c r="X20" i="6" s="1"/>
  <c r="O20" i="6"/>
  <c r="I20" i="6"/>
  <c r="F20" i="6"/>
  <c r="C20" i="6"/>
  <c r="W19" i="6"/>
  <c r="X19" i="6" s="1"/>
  <c r="O19" i="6"/>
  <c r="I19" i="6"/>
  <c r="F19" i="6"/>
  <c r="C19" i="6"/>
  <c r="W18" i="6"/>
  <c r="X18" i="6" s="1"/>
  <c r="O18" i="6"/>
  <c r="I18" i="6"/>
  <c r="F18" i="6"/>
  <c r="C18" i="6"/>
  <c r="C17" i="6" l="1"/>
  <c r="R6" i="8"/>
  <c r="S6" i="8" s="1"/>
  <c r="R7" i="8"/>
  <c r="S7" i="8" s="1"/>
  <c r="R8" i="8"/>
  <c r="S8" i="8" s="1"/>
  <c r="O6" i="8"/>
  <c r="O7" i="8"/>
  <c r="O8" i="8"/>
  <c r="I6" i="8"/>
  <c r="I7" i="8"/>
  <c r="I8" i="8"/>
  <c r="F6" i="8"/>
  <c r="F7" i="8"/>
  <c r="F8" i="8"/>
  <c r="C14" i="6" l="1"/>
  <c r="C15" i="6"/>
  <c r="C16" i="6"/>
  <c r="C13" i="6" l="1"/>
  <c r="W13" i="6"/>
  <c r="W14" i="6"/>
  <c r="W15" i="6"/>
  <c r="W16" i="6"/>
  <c r="W17" i="6"/>
  <c r="W24" i="6"/>
  <c r="W25" i="6"/>
  <c r="W26" i="6"/>
  <c r="W27" i="6"/>
  <c r="W28" i="6"/>
  <c r="W29" i="6"/>
  <c r="W30" i="6"/>
  <c r="W31" i="6"/>
  <c r="W32" i="6"/>
  <c r="W33" i="6"/>
  <c r="W34" i="6"/>
  <c r="W35" i="6"/>
  <c r="W36" i="6"/>
  <c r="W37" i="6"/>
  <c r="W38" i="6"/>
  <c r="W39" i="6"/>
  <c r="W19" i="9"/>
  <c r="X19" i="9" s="1"/>
  <c r="W20" i="9"/>
  <c r="X20" i="9" s="1"/>
  <c r="O19" i="9"/>
  <c r="O20" i="9"/>
  <c r="I19" i="9"/>
  <c r="I20" i="9"/>
  <c r="F19" i="9"/>
  <c r="F20" i="9"/>
  <c r="C20" i="9"/>
  <c r="C19" i="9"/>
  <c r="O13" i="9"/>
  <c r="O14" i="9"/>
  <c r="O15" i="9"/>
  <c r="O16" i="9"/>
  <c r="O17" i="9"/>
  <c r="O18" i="9"/>
  <c r="O12" i="9"/>
  <c r="B4" i="11" l="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19" i="11"/>
  <c r="B20" i="11"/>
  <c r="B21" i="11"/>
  <c r="B22" i="11"/>
  <c r="B23" i="11"/>
  <c r="B24" i="11"/>
  <c r="B25" i="11"/>
  <c r="B26" i="11"/>
  <c r="B27" i="11"/>
  <c r="B28" i="11"/>
  <c r="B29" i="11"/>
  <c r="B30" i="11"/>
  <c r="B31" i="11"/>
  <c r="B32" i="11"/>
  <c r="B33" i="11"/>
  <c r="B34" i="11"/>
  <c r="B35" i="11"/>
  <c r="B36" i="11"/>
  <c r="B37" i="11"/>
  <c r="B38" i="11"/>
  <c r="B39" i="11"/>
  <c r="B40" i="11"/>
  <c r="B41" i="11"/>
  <c r="B42" i="11"/>
  <c r="B43" i="11"/>
  <c r="B44" i="11"/>
  <c r="B45" i="11"/>
  <c r="B46" i="11"/>
  <c r="B47" i="11"/>
  <c r="B48" i="11"/>
  <c r="B49" i="11"/>
  <c r="B50" i="11"/>
  <c r="B51" i="11"/>
  <c r="B52" i="11"/>
  <c r="B53" i="11"/>
  <c r="B54" i="11"/>
  <c r="B55" i="11"/>
  <c r="B56" i="11"/>
  <c r="B57" i="11"/>
  <c r="B58" i="11"/>
  <c r="B59" i="11"/>
  <c r="B60" i="11"/>
  <c r="B61" i="11"/>
  <c r="B62" i="11"/>
  <c r="B63" i="11"/>
  <c r="B64" i="11"/>
  <c r="B65" i="11"/>
  <c r="B66" i="11"/>
  <c r="B67" i="11"/>
  <c r="B68" i="11"/>
  <c r="B69" i="11"/>
  <c r="B70" i="11"/>
  <c r="B71" i="11"/>
  <c r="B72" i="11"/>
  <c r="B73" i="11"/>
  <c r="B74" i="11"/>
  <c r="B75" i="11"/>
  <c r="B76" i="11"/>
  <c r="B77" i="11"/>
  <c r="B78" i="11"/>
  <c r="B79" i="11"/>
  <c r="B3" i="11"/>
  <c r="B2" i="11"/>
  <c r="A4" i="11" a="1"/>
  <c r="A4" i="11" s="1"/>
  <c r="A5" i="11" a="1"/>
  <c r="A5" i="11" s="1"/>
  <c r="A6" i="11" a="1"/>
  <c r="A6" i="11" s="1"/>
  <c r="A7" i="11" a="1"/>
  <c r="A7" i="11" s="1"/>
  <c r="A8" i="11" a="1"/>
  <c r="A8" i="11" s="1"/>
  <c r="A9" i="11" a="1"/>
  <c r="A9" i="11" s="1"/>
  <c r="A10" i="11" a="1"/>
  <c r="A10" i="11" s="1"/>
  <c r="A11" i="11" a="1"/>
  <c r="A11" i="11" s="1"/>
  <c r="A12" i="11" a="1"/>
  <c r="A12" i="11" s="1"/>
  <c r="A13" i="11" a="1"/>
  <c r="A13" i="11" s="1"/>
  <c r="A14" i="11" a="1"/>
  <c r="A14" i="11" s="1"/>
  <c r="A15" i="11" a="1"/>
  <c r="A15" i="11" s="1"/>
  <c r="A16" i="11" a="1"/>
  <c r="A16" i="11" s="1"/>
  <c r="A17" i="11" a="1"/>
  <c r="A17" i="11" s="1"/>
  <c r="A18" i="11" a="1"/>
  <c r="A18" i="11" s="1"/>
  <c r="A19" i="11" a="1"/>
  <c r="A19" i="11" s="1"/>
  <c r="A20" i="11" a="1"/>
  <c r="A20" i="11" s="1"/>
  <c r="A21" i="11" a="1"/>
  <c r="A21" i="11" s="1"/>
  <c r="A22" i="11" a="1"/>
  <c r="A22" i="11" s="1"/>
  <c r="A23" i="11" a="1"/>
  <c r="A23" i="11" s="1"/>
  <c r="A24" i="11" a="1"/>
  <c r="A24" i="11" s="1"/>
  <c r="A25" i="11" a="1"/>
  <c r="A25" i="11" s="1"/>
  <c r="A26" i="11" a="1"/>
  <c r="A26" i="11" s="1"/>
  <c r="A27" i="11" a="1"/>
  <c r="A27" i="11" s="1"/>
  <c r="A28" i="11" a="1"/>
  <c r="A28" i="11" s="1"/>
  <c r="A29" i="11" a="1"/>
  <c r="A29" i="11" s="1"/>
  <c r="A30" i="11" a="1"/>
  <c r="A30" i="11" s="1"/>
  <c r="A31" i="11" a="1"/>
  <c r="A31" i="11" s="1"/>
  <c r="A32" i="11" a="1"/>
  <c r="A32" i="11" s="1"/>
  <c r="A33" i="11" a="1"/>
  <c r="A33" i="11" s="1"/>
  <c r="A34" i="11" a="1"/>
  <c r="A34" i="11" s="1"/>
  <c r="A35" i="11" a="1"/>
  <c r="A35" i="11" s="1"/>
  <c r="A36" i="11" a="1"/>
  <c r="A36" i="11" s="1"/>
  <c r="A37" i="11" a="1"/>
  <c r="A37" i="11" s="1"/>
  <c r="A38" i="11" a="1"/>
  <c r="A38" i="11" s="1"/>
  <c r="A39" i="11" a="1"/>
  <c r="A39" i="11" s="1"/>
  <c r="A40" i="11" a="1"/>
  <c r="A40" i="11" s="1"/>
  <c r="A41" i="11" a="1"/>
  <c r="A41" i="11" s="1"/>
  <c r="A42" i="11" a="1"/>
  <c r="A42" i="11" s="1"/>
  <c r="A43" i="11" a="1"/>
  <c r="A43" i="11" s="1"/>
  <c r="A44" i="11" a="1"/>
  <c r="A44" i="11" s="1"/>
  <c r="A45" i="11" a="1"/>
  <c r="A45" i="11" s="1"/>
  <c r="A46" i="11" a="1"/>
  <c r="A46" i="11" s="1"/>
  <c r="A47" i="11" a="1"/>
  <c r="A47" i="11" s="1"/>
  <c r="A48" i="11" a="1"/>
  <c r="A48" i="11" s="1"/>
  <c r="A49" i="11" a="1"/>
  <c r="A49" i="11" s="1"/>
  <c r="A50" i="11" a="1"/>
  <c r="A50" i="11" s="1"/>
  <c r="A51" i="11" a="1"/>
  <c r="A51" i="11" s="1"/>
  <c r="A52" i="11" a="1"/>
  <c r="A52" i="11" s="1"/>
  <c r="A53" i="11" a="1"/>
  <c r="A53" i="11" s="1"/>
  <c r="A54" i="11" a="1"/>
  <c r="A54" i="11" s="1"/>
  <c r="A55" i="11" a="1"/>
  <c r="A55" i="11" s="1"/>
  <c r="A56" i="11" a="1"/>
  <c r="A56" i="11" s="1"/>
  <c r="A57" i="11" a="1"/>
  <c r="A57" i="11" s="1"/>
  <c r="A58" i="11" a="1"/>
  <c r="A58" i="11" s="1"/>
  <c r="A59" i="11" a="1"/>
  <c r="A59" i="11" s="1"/>
  <c r="A60" i="11" a="1"/>
  <c r="A60" i="11" s="1"/>
  <c r="A61" i="11" a="1"/>
  <c r="A61" i="11" s="1"/>
  <c r="A62" i="11" a="1"/>
  <c r="A62" i="11" s="1"/>
  <c r="A63" i="11" a="1"/>
  <c r="A63" i="11" s="1"/>
  <c r="A64" i="11" a="1"/>
  <c r="A64" i="11" s="1"/>
  <c r="A65" i="11" a="1"/>
  <c r="A65" i="11" s="1"/>
  <c r="A66" i="11" a="1"/>
  <c r="A66" i="11" s="1"/>
  <c r="A67" i="11" a="1"/>
  <c r="A67" i="11" s="1"/>
  <c r="A68" i="11" a="1"/>
  <c r="A68" i="11" s="1"/>
  <c r="A69" i="11" a="1"/>
  <c r="A69" i="11" s="1"/>
  <c r="A70" i="11" a="1"/>
  <c r="A70" i="11" s="1"/>
  <c r="A71" i="11" a="1"/>
  <c r="A71" i="11" s="1"/>
  <c r="A72" i="11" a="1"/>
  <c r="A72" i="11" s="1"/>
  <c r="A73" i="11" a="1"/>
  <c r="A73" i="11" s="1"/>
  <c r="A74" i="11" a="1"/>
  <c r="A74" i="11" s="1"/>
  <c r="A75" i="11" a="1"/>
  <c r="A75" i="11" s="1"/>
  <c r="A76" i="11" a="1"/>
  <c r="A76" i="11" s="1"/>
  <c r="A77" i="11" a="1"/>
  <c r="A77" i="11" s="1"/>
  <c r="A78" i="11" a="1"/>
  <c r="A78" i="11" s="1"/>
  <c r="A79" i="11" a="1"/>
  <c r="A79" i="11" s="1"/>
  <c r="A3" i="11" a="1"/>
  <c r="A3" i="11" s="1"/>
  <c r="A2" i="11" a="1"/>
  <c r="A2" i="11" s="1"/>
  <c r="A1" i="11" a="1"/>
  <c r="A1" i="11" s="1"/>
  <c r="A3" i="10" a="1"/>
  <c r="A3" i="10" s="1"/>
  <c r="A4" i="10" a="1"/>
  <c r="A4" i="10" s="1"/>
  <c r="A5" i="10" a="1"/>
  <c r="A5" i="10" s="1"/>
  <c r="A6" i="10" a="1"/>
  <c r="A6" i="10" s="1"/>
  <c r="A7" i="10" a="1"/>
  <c r="A7" i="10" s="1"/>
  <c r="A8" i="10" a="1"/>
  <c r="A8" i="10" s="1"/>
  <c r="A9" i="10" a="1"/>
  <c r="A9" i="10" s="1"/>
  <c r="A10" i="10" a="1"/>
  <c r="A10" i="10" s="1"/>
  <c r="A11" i="10" a="1"/>
  <c r="A11" i="10" s="1"/>
  <c r="A12" i="10" a="1"/>
  <c r="A12" i="10" s="1"/>
  <c r="A13" i="10" a="1"/>
  <c r="A13" i="10" s="1"/>
  <c r="A14" i="10" a="1"/>
  <c r="A14" i="10" s="1"/>
  <c r="A15" i="10" a="1"/>
  <c r="A15" i="10" s="1"/>
  <c r="A16" i="10" a="1"/>
  <c r="A16" i="10" s="1"/>
  <c r="A17" i="10" a="1"/>
  <c r="A17" i="10" s="1"/>
  <c r="A18" i="10" a="1"/>
  <c r="A18" i="10" s="1"/>
  <c r="A19" i="10" a="1"/>
  <c r="A19" i="10" s="1"/>
  <c r="A20" i="10" a="1"/>
  <c r="A20" i="10" s="1"/>
  <c r="A21" i="10" a="1"/>
  <c r="A21" i="10" s="1"/>
  <c r="A22" i="10" a="1"/>
  <c r="A22" i="10" s="1"/>
  <c r="A23" i="10" a="1"/>
  <c r="A23" i="10" s="1"/>
  <c r="A24" i="10" a="1"/>
  <c r="A24" i="10" s="1"/>
  <c r="A25" i="10" a="1"/>
  <c r="A25" i="10" s="1"/>
  <c r="A26" i="10" a="1"/>
  <c r="A26" i="10" s="1"/>
  <c r="A27" i="10" a="1"/>
  <c r="A27" i="10" s="1"/>
  <c r="A28" i="10" a="1"/>
  <c r="A28" i="10" s="1"/>
  <c r="A29" i="10" a="1"/>
  <c r="A29" i="10" s="1"/>
  <c r="A30" i="10" a="1"/>
  <c r="A30" i="10" s="1"/>
  <c r="A31" i="10" a="1"/>
  <c r="A31" i="10" s="1"/>
  <c r="A32" i="10" a="1"/>
  <c r="A32" i="10" s="1"/>
  <c r="A33" i="10" a="1"/>
  <c r="A33" i="10" s="1"/>
  <c r="A34" i="10" a="1"/>
  <c r="A34" i="10" s="1"/>
  <c r="A35" i="10" a="1"/>
  <c r="A35" i="10" s="1"/>
  <c r="A36" i="10" a="1"/>
  <c r="A36" i="10" s="1"/>
  <c r="A37" i="10" a="1"/>
  <c r="A37" i="10" s="1"/>
  <c r="A38" i="10" a="1"/>
  <c r="A38" i="10" s="1"/>
  <c r="A39" i="10" a="1"/>
  <c r="A39" i="10" s="1"/>
  <c r="A40" i="10" a="1"/>
  <c r="A40" i="10" s="1"/>
  <c r="A41" i="10" a="1"/>
  <c r="A41" i="10" s="1"/>
  <c r="A42" i="10" a="1"/>
  <c r="A42" i="10" s="1"/>
  <c r="A43" i="10" a="1"/>
  <c r="A43" i="10" s="1"/>
  <c r="A44" i="10" a="1"/>
  <c r="A44" i="10" s="1"/>
  <c r="A45" i="10" a="1"/>
  <c r="A45" i="10" s="1"/>
  <c r="A46" i="10" a="1"/>
  <c r="A46" i="10" s="1"/>
  <c r="A47" i="10" a="1"/>
  <c r="A47" i="10" s="1"/>
  <c r="A48" i="10" a="1"/>
  <c r="A48" i="10" s="1"/>
  <c r="A49" i="10" a="1"/>
  <c r="A49" i="10" s="1"/>
  <c r="A50" i="10" a="1"/>
  <c r="A50" i="10" s="1"/>
  <c r="A51" i="10" a="1"/>
  <c r="A51" i="10" s="1"/>
  <c r="A52" i="10" a="1"/>
  <c r="A52" i="10" s="1"/>
  <c r="A53" i="10" a="1"/>
  <c r="A53" i="10" s="1"/>
  <c r="A54" i="10" a="1"/>
  <c r="A54" i="10" s="1"/>
  <c r="A55" i="10" a="1"/>
  <c r="A55" i="10" s="1"/>
  <c r="A56" i="10" a="1"/>
  <c r="A56" i="10" s="1"/>
  <c r="A57" i="10" a="1"/>
  <c r="A57" i="10" s="1"/>
  <c r="A58" i="10" a="1"/>
  <c r="A58" i="10" s="1"/>
  <c r="A59" i="10" a="1"/>
  <c r="A59" i="10" s="1"/>
  <c r="A60" i="10" a="1"/>
  <c r="A60" i="10" s="1"/>
  <c r="A61" i="10" a="1"/>
  <c r="A61" i="10" s="1"/>
  <c r="A62" i="10" a="1"/>
  <c r="A62" i="10" s="1"/>
  <c r="A63" i="10" a="1"/>
  <c r="A63" i="10" s="1"/>
  <c r="A64" i="10" a="1"/>
  <c r="A64" i="10" s="1"/>
  <c r="A65" i="10" a="1"/>
  <c r="A65" i="10" s="1"/>
  <c r="A66" i="10" a="1"/>
  <c r="A66" i="10" s="1"/>
  <c r="A67" i="10" a="1"/>
  <c r="A67" i="10" s="1"/>
  <c r="A68" i="10" a="1"/>
  <c r="A68" i="10" s="1"/>
  <c r="A69" i="10" a="1"/>
  <c r="A69" i="10" s="1"/>
  <c r="A70" i="10" a="1"/>
  <c r="A70" i="10" s="1"/>
  <c r="A71" i="10" a="1"/>
  <c r="A71" i="10" s="1"/>
  <c r="A72" i="10" a="1"/>
  <c r="A72" i="10" s="1"/>
  <c r="A73" i="10" a="1"/>
  <c r="A73" i="10" s="1"/>
  <c r="A74" i="10" a="1"/>
  <c r="A74" i="10" s="1"/>
  <c r="A75" i="10" a="1"/>
  <c r="A75" i="10" s="1"/>
  <c r="A76" i="10" a="1"/>
  <c r="A76" i="10" s="1"/>
  <c r="A77" i="10" a="1"/>
  <c r="A77" i="10" s="1"/>
  <c r="A78" i="10" a="1"/>
  <c r="A78" i="10" s="1"/>
  <c r="A79" i="10" a="1"/>
  <c r="A79" i="10" s="1"/>
  <c r="A2" i="10" a="1"/>
  <c r="A2" i="10" s="1"/>
  <c r="B78" i="10" l="1"/>
  <c r="B79" i="10"/>
  <c r="B71" i="10"/>
  <c r="B72" i="10"/>
  <c r="B73" i="10"/>
  <c r="B74" i="10"/>
  <c r="B75" i="10"/>
  <c r="B76" i="10"/>
  <c r="B77" i="10"/>
  <c r="B57" i="10"/>
  <c r="B58" i="10"/>
  <c r="B59" i="10"/>
  <c r="B60" i="10"/>
  <c r="B61" i="10"/>
  <c r="B62" i="10"/>
  <c r="B63" i="10"/>
  <c r="B64" i="10"/>
  <c r="B65" i="10"/>
  <c r="B66" i="10"/>
  <c r="B67" i="10"/>
  <c r="B68" i="10"/>
  <c r="B69" i="10"/>
  <c r="B70" i="10"/>
  <c r="B39" i="10"/>
  <c r="B40" i="10"/>
  <c r="B41" i="10"/>
  <c r="B42" i="10"/>
  <c r="B43" i="10"/>
  <c r="B44" i="10"/>
  <c r="B45" i="10"/>
  <c r="B46" i="10"/>
  <c r="B47" i="10"/>
  <c r="B48" i="10"/>
  <c r="B49" i="10"/>
  <c r="B50" i="10"/>
  <c r="B51" i="10"/>
  <c r="B52" i="10"/>
  <c r="B53" i="10"/>
  <c r="B54" i="10"/>
  <c r="B55" i="10"/>
  <c r="B56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3" i="10"/>
  <c r="B24" i="10"/>
  <c r="B25" i="10"/>
  <c r="B26" i="10"/>
  <c r="B27" i="10"/>
  <c r="B28" i="10"/>
  <c r="B29" i="10"/>
  <c r="B30" i="10"/>
  <c r="B31" i="10"/>
  <c r="B32" i="10"/>
  <c r="B33" i="10"/>
  <c r="B34" i="10"/>
  <c r="B35" i="10"/>
  <c r="B36" i="10"/>
  <c r="B37" i="10"/>
  <c r="B38" i="10"/>
  <c r="B2" i="10"/>
  <c r="A1" i="10" a="1"/>
  <c r="A1" i="10" s="1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2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2" i="10"/>
  <c r="C16" i="9" l="1"/>
  <c r="C17" i="9"/>
  <c r="C18" i="9"/>
  <c r="W16" i="9"/>
  <c r="X16" i="9" s="1"/>
  <c r="W17" i="9"/>
  <c r="X17" i="9"/>
  <c r="W18" i="9"/>
  <c r="X18" i="9"/>
  <c r="I16" i="9"/>
  <c r="I17" i="9"/>
  <c r="I18" i="9"/>
  <c r="F16" i="9"/>
  <c r="F17" i="9"/>
  <c r="F18" i="9"/>
  <c r="O13" i="6" l="1"/>
  <c r="O14" i="6"/>
  <c r="O15" i="6"/>
  <c r="O16" i="6"/>
  <c r="O17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12" i="6"/>
  <c r="W14" i="9" l="1"/>
  <c r="X14" i="9" s="1"/>
  <c r="W15" i="9"/>
  <c r="X15" i="9" s="1"/>
  <c r="C14" i="9"/>
  <c r="C15" i="9"/>
  <c r="I14" i="9"/>
  <c r="I15" i="9"/>
  <c r="F14" i="9"/>
  <c r="F15" i="9"/>
  <c r="D5" i="11" l="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2" i="11"/>
  <c r="D23" i="11"/>
  <c r="D24" i="11"/>
  <c r="D25" i="11"/>
  <c r="D26" i="11"/>
  <c r="D27" i="11"/>
  <c r="D28" i="11"/>
  <c r="D29" i="11"/>
  <c r="D30" i="11"/>
  <c r="D31" i="11"/>
  <c r="D32" i="11"/>
  <c r="D33" i="11"/>
  <c r="D34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8" i="11"/>
  <c r="D69" i="11"/>
  <c r="D70" i="11"/>
  <c r="D71" i="11"/>
  <c r="D72" i="11"/>
  <c r="D73" i="11"/>
  <c r="D74" i="11"/>
  <c r="D75" i="11"/>
  <c r="D76" i="11"/>
  <c r="D77" i="11"/>
  <c r="D78" i="11"/>
  <c r="D79" i="11"/>
  <c r="D4" i="11"/>
  <c r="AV4" i="8"/>
  <c r="AU4" i="8"/>
  <c r="AE4" i="8"/>
  <c r="AA4" i="8"/>
  <c r="T4" i="8"/>
  <c r="P4" i="8"/>
  <c r="C13" i="9" l="1"/>
  <c r="C21" i="9"/>
  <c r="C12" i="9"/>
  <c r="W21" i="9"/>
  <c r="X21" i="9" s="1"/>
  <c r="O21" i="9"/>
  <c r="I21" i="9"/>
  <c r="F21" i="9"/>
  <c r="W13" i="9"/>
  <c r="X13" i="9" s="1"/>
  <c r="I13" i="9"/>
  <c r="F13" i="9"/>
  <c r="W12" i="9"/>
  <c r="X12" i="9" s="1"/>
  <c r="I12" i="9"/>
  <c r="F12" i="9"/>
  <c r="D3" i="11"/>
  <c r="D2" i="11"/>
  <c r="D3" i="10"/>
  <c r="D4" i="10"/>
  <c r="C2" i="11" l="1"/>
  <c r="C25" i="11" l="1"/>
  <c r="C50" i="11"/>
  <c r="C19" i="11"/>
  <c r="C53" i="11"/>
  <c r="C54" i="11"/>
  <c r="C75" i="11"/>
  <c r="C44" i="11"/>
  <c r="C13" i="11"/>
  <c r="C47" i="11"/>
  <c r="C48" i="11"/>
  <c r="C34" i="11"/>
  <c r="C33" i="11"/>
  <c r="C38" i="11"/>
  <c r="C7" i="11"/>
  <c r="C5" i="11"/>
  <c r="C18" i="11"/>
  <c r="C39" i="11"/>
  <c r="C42" i="11"/>
  <c r="C64" i="11"/>
  <c r="C28" i="11"/>
  <c r="C63" i="11"/>
  <c r="C27" i="11"/>
  <c r="C68" i="11"/>
  <c r="C32" i="11"/>
  <c r="C73" i="11"/>
  <c r="C37" i="11"/>
  <c r="C72" i="11"/>
  <c r="C71" i="11"/>
  <c r="C35" i="11"/>
  <c r="C36" i="11"/>
  <c r="C58" i="11"/>
  <c r="C22" i="11"/>
  <c r="C57" i="11"/>
  <c r="C21" i="11"/>
  <c r="C62" i="11"/>
  <c r="C26" i="11"/>
  <c r="C67" i="11"/>
  <c r="C31" i="11"/>
  <c r="C12" i="11"/>
  <c r="C65" i="11"/>
  <c r="C29" i="11"/>
  <c r="C78" i="11"/>
  <c r="C24" i="11"/>
  <c r="C52" i="11"/>
  <c r="C16" i="11"/>
  <c r="C51" i="11"/>
  <c r="C15" i="11"/>
  <c r="C56" i="11"/>
  <c r="C20" i="11"/>
  <c r="C61" i="11"/>
  <c r="C6" i="11"/>
  <c r="C59" i="11"/>
  <c r="C23" i="11"/>
  <c r="C66" i="11"/>
  <c r="C77" i="11"/>
  <c r="C46" i="11"/>
  <c r="C10" i="11"/>
  <c r="C45" i="11"/>
  <c r="C9" i="11"/>
  <c r="C14" i="11"/>
  <c r="C55" i="11"/>
  <c r="C60" i="11"/>
  <c r="C17" i="11"/>
  <c r="C76" i="11"/>
  <c r="C40" i="11"/>
  <c r="C4" i="11"/>
  <c r="C8" i="11"/>
  <c r="C49" i="11"/>
  <c r="C30" i="11"/>
  <c r="C11" i="11"/>
  <c r="C70" i="11"/>
  <c r="C69" i="11"/>
  <c r="C74" i="11"/>
  <c r="C79" i="11"/>
  <c r="C43" i="11"/>
  <c r="C41" i="11"/>
  <c r="C3" i="11"/>
  <c r="CR3" i="9"/>
  <c r="AF3" i="9"/>
  <c r="AM3" i="9"/>
  <c r="BB3" i="9"/>
  <c r="BI3" i="9"/>
  <c r="BP3" i="9"/>
  <c r="BW3" i="9"/>
  <c r="CL3" i="9"/>
  <c r="CS3" i="9"/>
  <c r="BO3" i="9"/>
  <c r="AG3" i="9"/>
  <c r="BC3" i="9"/>
  <c r="BJ3" i="9"/>
  <c r="BQ3" i="9"/>
  <c r="CM3" i="9"/>
  <c r="CT3" i="9"/>
  <c r="AK3" i="9"/>
  <c r="BN3" i="9"/>
  <c r="CI3" i="9"/>
  <c r="AE3" i="9"/>
  <c r="BA3" i="9"/>
  <c r="CC3" i="9"/>
  <c r="AW3" i="9"/>
  <c r="BD3" i="9"/>
  <c r="BK3" i="9"/>
  <c r="CG3" i="9"/>
  <c r="CN3" i="9"/>
  <c r="CU3" i="9"/>
  <c r="AR3" i="9"/>
  <c r="CB3" i="9"/>
  <c r="CX3" i="9"/>
  <c r="BV3" i="9"/>
  <c r="CY3" i="9"/>
  <c r="AQ3" i="9"/>
  <c r="AX3" i="9"/>
  <c r="BE3" i="9"/>
  <c r="CA3" i="9"/>
  <c r="CH3" i="9"/>
  <c r="CO3" i="9"/>
  <c r="AY3" i="9"/>
  <c r="BU3" i="9"/>
  <c r="AL3" i="9"/>
  <c r="AS3" i="9"/>
  <c r="BH3" i="9"/>
  <c r="CK3" i="9"/>
  <c r="AP3" i="9"/>
  <c r="BS3" i="9"/>
  <c r="AC3" i="9"/>
  <c r="CP3" i="9"/>
  <c r="AZ3" i="9"/>
  <c r="AJ3" i="9"/>
  <c r="BM3" i="9"/>
  <c r="CV3" i="9"/>
  <c r="CD3" i="9"/>
  <c r="AT3" i="9"/>
  <c r="CF3" i="9"/>
  <c r="CW3" i="9"/>
  <c r="BG3" i="9"/>
  <c r="BX3" i="9"/>
  <c r="BL3" i="9"/>
  <c r="AD3" i="9"/>
  <c r="BZ3" i="9"/>
  <c r="CQ3" i="9"/>
  <c r="AU3" i="9"/>
  <c r="BF3" i="9"/>
  <c r="AN3" i="9"/>
  <c r="BT3" i="9"/>
  <c r="CE3" i="9"/>
  <c r="AO3" i="9"/>
  <c r="AH3" i="9"/>
  <c r="CJ3" i="9"/>
  <c r="AV3" i="9"/>
  <c r="BY3" i="9"/>
  <c r="AI3" i="9"/>
  <c r="AB3" i="9"/>
  <c r="BR3" i="9"/>
  <c r="AA3" i="9"/>
  <c r="Z3" i="9"/>
  <c r="X4" i="9"/>
  <c r="E17" i="11" l="1"/>
  <c r="E30" i="11"/>
  <c r="E43" i="11"/>
  <c r="E5" i="11"/>
  <c r="E3" i="11"/>
  <c r="E70" i="11"/>
  <c r="E40" i="11"/>
  <c r="E9" i="11"/>
  <c r="E23" i="11"/>
  <c r="E15" i="11"/>
  <c r="E29" i="11"/>
  <c r="E62" i="11"/>
  <c r="E35" i="11"/>
  <c r="E68" i="11"/>
  <c r="E39" i="11"/>
  <c r="E34" i="11"/>
  <c r="E54" i="11"/>
  <c r="E41" i="11"/>
  <c r="E11" i="11"/>
  <c r="E76" i="11"/>
  <c r="E45" i="11"/>
  <c r="E59" i="11"/>
  <c r="E51" i="11"/>
  <c r="E65" i="11"/>
  <c r="E21" i="11"/>
  <c r="E71" i="11"/>
  <c r="E27" i="11"/>
  <c r="E57" i="11"/>
  <c r="E18" i="11"/>
  <c r="E48" i="11"/>
  <c r="E53" i="11"/>
  <c r="E6" i="11"/>
  <c r="E52" i="11"/>
  <c r="E10" i="11"/>
  <c r="E12" i="11"/>
  <c r="E63" i="11"/>
  <c r="E47" i="11"/>
  <c r="E49" i="11"/>
  <c r="E46" i="11"/>
  <c r="E31" i="11"/>
  <c r="E37" i="11"/>
  <c r="E28" i="11"/>
  <c r="E7" i="11"/>
  <c r="E13" i="11"/>
  <c r="E74" i="11"/>
  <c r="E8" i="11"/>
  <c r="E55" i="11"/>
  <c r="E77" i="11"/>
  <c r="E20" i="11"/>
  <c r="E24" i="11"/>
  <c r="E67" i="11"/>
  <c r="E58" i="11"/>
  <c r="E73" i="11"/>
  <c r="E64" i="11"/>
  <c r="E38" i="11"/>
  <c r="E44" i="11"/>
  <c r="E25" i="11"/>
  <c r="E16" i="11"/>
  <c r="E72" i="11"/>
  <c r="E19" i="11"/>
  <c r="E79" i="11"/>
  <c r="E60" i="11"/>
  <c r="E61" i="11"/>
  <c r="E22" i="11"/>
  <c r="E50" i="11"/>
  <c r="E69" i="11"/>
  <c r="E4" i="11"/>
  <c r="E14" i="11"/>
  <c r="E66" i="11"/>
  <c r="E56" i="11"/>
  <c r="E78" i="11"/>
  <c r="E26" i="11"/>
  <c r="E36" i="11"/>
  <c r="E32" i="11"/>
  <c r="E42" i="11"/>
  <c r="E33" i="11"/>
  <c r="E75" i="11"/>
  <c r="E2" i="11"/>
  <c r="I79" i="11" l="1"/>
  <c r="I70" i="11"/>
  <c r="I61" i="11"/>
  <c r="I52" i="11"/>
  <c r="I43" i="11"/>
  <c r="G36" i="11"/>
  <c r="F36" i="11" s="1"/>
  <c r="I74" i="11"/>
  <c r="I65" i="11"/>
  <c r="I56" i="11"/>
  <c r="I47" i="11"/>
  <c r="I78" i="11"/>
  <c r="I69" i="11"/>
  <c r="I60" i="11"/>
  <c r="I51" i="11"/>
  <c r="I42" i="11"/>
  <c r="I35" i="11"/>
  <c r="I26" i="11"/>
  <c r="G32" i="11"/>
  <c r="F32" i="11" s="1"/>
  <c r="I21" i="11"/>
  <c r="I4" i="11"/>
  <c r="G17" i="11"/>
  <c r="F17" i="11" s="1"/>
  <c r="I3" i="11"/>
  <c r="G33" i="11"/>
  <c r="F33" i="11" s="1"/>
  <c r="G78" i="11"/>
  <c r="F78" i="11" s="1"/>
  <c r="G69" i="11"/>
  <c r="F69" i="11" s="1"/>
  <c r="G60" i="11"/>
  <c r="F60" i="11" s="1"/>
  <c r="G51" i="11"/>
  <c r="F51" i="11" s="1"/>
  <c r="G42" i="11"/>
  <c r="F42" i="11" s="1"/>
  <c r="G35" i="11"/>
  <c r="F35" i="11" s="1"/>
  <c r="G73" i="11"/>
  <c r="F73" i="11" s="1"/>
  <c r="G64" i="11"/>
  <c r="F64" i="11" s="1"/>
  <c r="G55" i="11"/>
  <c r="F55" i="11" s="1"/>
  <c r="G46" i="11"/>
  <c r="F46" i="11" s="1"/>
  <c r="G77" i="11"/>
  <c r="F77" i="11" s="1"/>
  <c r="G68" i="11"/>
  <c r="F68" i="11" s="1"/>
  <c r="G59" i="11"/>
  <c r="F59" i="11" s="1"/>
  <c r="G50" i="11"/>
  <c r="F50" i="11" s="1"/>
  <c r="G41" i="11"/>
  <c r="F41" i="11" s="1"/>
  <c r="I34" i="11"/>
  <c r="I24" i="11"/>
  <c r="I6" i="11"/>
  <c r="G30" i="11"/>
  <c r="F30" i="11" s="1"/>
  <c r="I31" i="11"/>
  <c r="I19" i="11"/>
  <c r="I10" i="11"/>
  <c r="G3" i="11"/>
  <c r="F3" i="11" s="1"/>
  <c r="G29" i="11"/>
  <c r="F29" i="11" s="1"/>
  <c r="G15" i="11"/>
  <c r="F15" i="11" s="1"/>
  <c r="G10" i="11"/>
  <c r="F10" i="11" s="1"/>
  <c r="I76" i="11"/>
  <c r="I67" i="11"/>
  <c r="I58" i="11"/>
  <c r="I49" i="11"/>
  <c r="I40" i="11"/>
  <c r="G34" i="11"/>
  <c r="F34" i="11" s="1"/>
  <c r="I71" i="11"/>
  <c r="I62" i="11"/>
  <c r="I53" i="11"/>
  <c r="I44" i="11"/>
  <c r="I66" i="11"/>
  <c r="I57" i="11"/>
  <c r="I48" i="11"/>
  <c r="I39" i="11"/>
  <c r="I33" i="11"/>
  <c r="I22" i="11"/>
  <c r="G5" i="11"/>
  <c r="F5" i="11" s="1"/>
  <c r="G28" i="11"/>
  <c r="F28" i="11" s="1"/>
  <c r="I29" i="11"/>
  <c r="I9" i="11"/>
  <c r="I2" i="11"/>
  <c r="J2" i="11" s="1" a="1"/>
  <c r="J2" i="11" s="1"/>
  <c r="G27" i="11"/>
  <c r="F27" i="11" s="1"/>
  <c r="G7" i="11"/>
  <c r="F7" i="11" s="1"/>
  <c r="G48" i="11"/>
  <c r="F48" i="11" s="1"/>
  <c r="G61" i="11"/>
  <c r="F61" i="11" s="1"/>
  <c r="G56" i="11"/>
  <c r="F56" i="11" s="1"/>
  <c r="I20" i="11"/>
  <c r="I27" i="11"/>
  <c r="G11" i="11"/>
  <c r="F11" i="11" s="1"/>
  <c r="I75" i="11"/>
  <c r="I17" i="11"/>
  <c r="G19" i="11"/>
  <c r="F19" i="11" s="1"/>
  <c r="G79" i="11"/>
  <c r="F79" i="11" s="1"/>
  <c r="G43" i="11"/>
  <c r="F43" i="11" s="1"/>
  <c r="G74" i="11"/>
  <c r="F74" i="11" s="1"/>
  <c r="G47" i="11"/>
  <c r="F47" i="11" s="1"/>
  <c r="G26" i="11"/>
  <c r="F26" i="11" s="1"/>
  <c r="G25" i="11"/>
  <c r="F25" i="11" s="1"/>
  <c r="G75" i="11"/>
  <c r="F75" i="11" s="1"/>
  <c r="G66" i="11"/>
  <c r="F66" i="11" s="1"/>
  <c r="G57" i="11"/>
  <c r="F57" i="11" s="1"/>
  <c r="G39" i="11"/>
  <c r="F39" i="11" s="1"/>
  <c r="G70" i="11"/>
  <c r="F70" i="11" s="1"/>
  <c r="G52" i="11"/>
  <c r="F52" i="11" s="1"/>
  <c r="G65" i="11"/>
  <c r="F65" i="11" s="1"/>
  <c r="I32" i="11"/>
  <c r="I15" i="11"/>
  <c r="I73" i="11"/>
  <c r="I64" i="11"/>
  <c r="I55" i="11"/>
  <c r="I46" i="11"/>
  <c r="G38" i="11"/>
  <c r="F38" i="11" s="1"/>
  <c r="I77" i="11"/>
  <c r="I68" i="11"/>
  <c r="I59" i="11"/>
  <c r="I50" i="11"/>
  <c r="I41" i="11"/>
  <c r="I72" i="11"/>
  <c r="I63" i="11"/>
  <c r="I54" i="11"/>
  <c r="I45" i="11"/>
  <c r="I37" i="11"/>
  <c r="I30" i="11"/>
  <c r="I18" i="11"/>
  <c r="G18" i="11"/>
  <c r="F18" i="11" s="1"/>
  <c r="G24" i="11"/>
  <c r="F24" i="11" s="1"/>
  <c r="I25" i="11"/>
  <c r="I13" i="11"/>
  <c r="I7" i="11"/>
  <c r="G12" i="11"/>
  <c r="F12" i="11" s="1"/>
  <c r="G23" i="11"/>
  <c r="F23" i="11" s="1"/>
  <c r="G8" i="11"/>
  <c r="F8" i="11" s="1"/>
  <c r="I5" i="11"/>
  <c r="G72" i="11"/>
  <c r="F72" i="11" s="1"/>
  <c r="G63" i="11"/>
  <c r="F63" i="11" s="1"/>
  <c r="G54" i="11"/>
  <c r="F54" i="11" s="1"/>
  <c r="G45" i="11"/>
  <c r="F45" i="11" s="1"/>
  <c r="G37" i="11"/>
  <c r="F37" i="11" s="1"/>
  <c r="G76" i="11"/>
  <c r="F76" i="11" s="1"/>
  <c r="G67" i="11"/>
  <c r="F67" i="11" s="1"/>
  <c r="G58" i="11"/>
  <c r="F58" i="11" s="1"/>
  <c r="G49" i="11"/>
  <c r="F49" i="11" s="1"/>
  <c r="G40" i="11"/>
  <c r="F40" i="11" s="1"/>
  <c r="G71" i="11"/>
  <c r="F71" i="11" s="1"/>
  <c r="G62" i="11"/>
  <c r="F62" i="11" s="1"/>
  <c r="G53" i="11"/>
  <c r="F53" i="11" s="1"/>
  <c r="G44" i="11"/>
  <c r="F44" i="11" s="1"/>
  <c r="I36" i="11"/>
  <c r="I28" i="11"/>
  <c r="I16" i="11"/>
  <c r="G16" i="11"/>
  <c r="F16" i="11" s="1"/>
  <c r="G22" i="11"/>
  <c r="F22" i="11" s="1"/>
  <c r="I23" i="11"/>
  <c r="I12" i="11"/>
  <c r="G6" i="11"/>
  <c r="F6" i="11" s="1"/>
  <c r="G9" i="11"/>
  <c r="F9" i="11" s="1"/>
  <c r="G21" i="11"/>
  <c r="F21" i="11" s="1"/>
  <c r="G14" i="11"/>
  <c r="F14" i="11" s="1"/>
  <c r="G2" i="11"/>
  <c r="F2" i="11" s="1"/>
  <c r="I14" i="11"/>
  <c r="G20" i="11"/>
  <c r="F20" i="11" s="1"/>
  <c r="I11" i="11"/>
  <c r="G31" i="11"/>
  <c r="F31" i="11" s="1"/>
  <c r="G13" i="11"/>
  <c r="F13" i="11" s="1"/>
  <c r="I38" i="11"/>
  <c r="I8" i="11"/>
  <c r="G4" i="11"/>
  <c r="F4" i="11" s="1"/>
  <c r="J25" i="11" l="1" a="1"/>
  <c r="J25" i="11" s="1"/>
  <c r="J4" i="11" a="1"/>
  <c r="J4" i="11" s="1"/>
  <c r="J5" i="11" a="1"/>
  <c r="J5" i="11" s="1"/>
  <c r="J28" i="11" a="1"/>
  <c r="J28" i="11" s="1"/>
  <c r="J15" i="11" a="1"/>
  <c r="J15" i="11" s="1"/>
  <c r="J8" i="11" a="1"/>
  <c r="J8" i="11" s="1"/>
  <c r="J36" i="11" a="1"/>
  <c r="J36" i="11" s="1"/>
  <c r="J18" i="11" a="1"/>
  <c r="J18" i="11" s="1"/>
  <c r="J32" i="11" a="1"/>
  <c r="J32" i="11" s="1"/>
  <c r="J27" i="11" a="1"/>
  <c r="J27" i="11" s="1"/>
  <c r="J22" i="11" a="1"/>
  <c r="J22" i="11" s="1"/>
  <c r="J6" i="11" a="1"/>
  <c r="J6" i="11" s="1"/>
  <c r="J26" i="11" a="1"/>
  <c r="J26" i="11" s="1"/>
  <c r="J12" i="11" a="1"/>
  <c r="J12" i="11" s="1"/>
  <c r="J23" i="11" a="1"/>
  <c r="J23" i="11" s="1"/>
  <c r="J7" i="11" a="1"/>
  <c r="J7" i="11" s="1"/>
  <c r="J20" i="11" a="1"/>
  <c r="J20" i="11" s="1"/>
  <c r="J33" i="11" a="1"/>
  <c r="J33" i="11" s="1"/>
  <c r="J24" i="11" a="1"/>
  <c r="J24" i="11" s="1"/>
  <c r="J3" i="11" a="1"/>
  <c r="J3" i="11" s="1"/>
  <c r="J35" i="11" a="1"/>
  <c r="J35" i="11" s="1"/>
  <c r="J14" i="11" a="1"/>
  <c r="J14" i="11" s="1"/>
  <c r="J38" i="11" a="1"/>
  <c r="J38" i="11" s="1"/>
  <c r="J30" i="11" a="1"/>
  <c r="J30" i="11" s="1"/>
  <c r="J13" i="11" a="1"/>
  <c r="J13" i="11" s="1"/>
  <c r="J37" i="11" a="1"/>
  <c r="J37" i="11" s="1"/>
  <c r="J9" i="11" a="1"/>
  <c r="J9" i="11" s="1"/>
  <c r="J10" i="11" a="1"/>
  <c r="J10" i="11" s="1"/>
  <c r="J34" i="11" a="1"/>
  <c r="J34" i="11" s="1"/>
  <c r="J17" i="11" a="1"/>
  <c r="J17" i="11" s="1"/>
  <c r="J29" i="11" a="1"/>
  <c r="J29" i="11" s="1"/>
  <c r="J19" i="11" a="1"/>
  <c r="J19" i="11" s="1"/>
  <c r="J11" i="11" a="1"/>
  <c r="J11" i="11" s="1"/>
  <c r="J16" i="11" a="1"/>
  <c r="J16" i="11" s="1"/>
  <c r="J31" i="11" a="1"/>
  <c r="J31" i="11" s="1"/>
  <c r="J21" i="11" a="1"/>
  <c r="J21" i="11" s="1"/>
  <c r="K8" i="11" a="1"/>
  <c r="K8" i="11" s="1"/>
  <c r="L8" i="11" a="1"/>
  <c r="L8" i="11" s="1"/>
  <c r="K14" i="11" a="1"/>
  <c r="K14" i="11" s="1"/>
  <c r="L14" i="11" a="1"/>
  <c r="L14" i="11" s="1"/>
  <c r="K12" i="11" a="1"/>
  <c r="K12" i="11" s="1"/>
  <c r="L12" i="11" a="1"/>
  <c r="L12" i="11" s="1"/>
  <c r="L36" i="11" a="1"/>
  <c r="L36" i="11" s="1"/>
  <c r="K36" i="11" a="1"/>
  <c r="K36" i="11" s="1"/>
  <c r="L18" i="11" a="1"/>
  <c r="L18" i="11" s="1"/>
  <c r="K18" i="11" a="1"/>
  <c r="K18" i="11" s="1"/>
  <c r="K32" i="11" a="1"/>
  <c r="K32" i="11" s="1"/>
  <c r="L32" i="11" a="1"/>
  <c r="L32" i="11" s="1"/>
  <c r="L27" i="11" a="1"/>
  <c r="L27" i="11" s="1"/>
  <c r="K27" i="11" a="1"/>
  <c r="K27" i="11" s="1"/>
  <c r="K22" i="11" a="1"/>
  <c r="K22" i="11" s="1"/>
  <c r="L22" i="11" a="1"/>
  <c r="L22" i="11" s="1"/>
  <c r="K6" i="11" a="1"/>
  <c r="K6" i="11" s="1"/>
  <c r="L6" i="11" a="1"/>
  <c r="L6" i="11" s="1"/>
  <c r="K26" i="11" a="1"/>
  <c r="K26" i="11" s="1"/>
  <c r="L26" i="11" a="1"/>
  <c r="L26" i="11" s="1"/>
  <c r="K15" i="11" a="1"/>
  <c r="K15" i="11" s="1"/>
  <c r="L15" i="11" a="1"/>
  <c r="L15" i="11" s="1"/>
  <c r="L7" i="11" a="1"/>
  <c r="L7" i="11" s="1"/>
  <c r="K7" i="11" a="1"/>
  <c r="K7" i="11" s="1"/>
  <c r="K30" i="11" a="1"/>
  <c r="K30" i="11" s="1"/>
  <c r="L30" i="11" a="1"/>
  <c r="L30" i="11" s="1"/>
  <c r="L20" i="11" a="1"/>
  <c r="L20" i="11" s="1"/>
  <c r="K20" i="11" a="1"/>
  <c r="K20" i="11" s="1"/>
  <c r="L2" i="11"/>
  <c r="K2" i="11" a="1"/>
  <c r="K2" i="11" s="1"/>
  <c r="L33" i="11" a="1"/>
  <c r="L33" i="11" s="1"/>
  <c r="K33" i="11" a="1"/>
  <c r="K33" i="11" s="1"/>
  <c r="L24" i="11" a="1"/>
  <c r="L24" i="11" s="1"/>
  <c r="K24" i="11" a="1"/>
  <c r="K24" i="11" s="1"/>
  <c r="K3" i="11" a="1"/>
  <c r="K3" i="11" s="1"/>
  <c r="L3" i="11" a="1"/>
  <c r="L3" i="11" s="1"/>
  <c r="L35" i="11" a="1"/>
  <c r="L35" i="11" s="1"/>
  <c r="K35" i="11" a="1"/>
  <c r="K35" i="11" s="1"/>
  <c r="L38" i="11" a="1"/>
  <c r="L38" i="11" s="1"/>
  <c r="K38" i="11" a="1"/>
  <c r="K38" i="11" s="1"/>
  <c r="L13" i="11" a="1"/>
  <c r="L13" i="11" s="1"/>
  <c r="K13" i="11" a="1"/>
  <c r="K13" i="11" s="1"/>
  <c r="L37" i="11" a="1"/>
  <c r="L37" i="11" s="1"/>
  <c r="K37" i="11" a="1"/>
  <c r="K37" i="11" s="1"/>
  <c r="K9" i="11" a="1"/>
  <c r="K9" i="11" s="1"/>
  <c r="L9" i="11" a="1"/>
  <c r="L9" i="11" s="1"/>
  <c r="L10" i="11" a="1"/>
  <c r="L10" i="11" s="1"/>
  <c r="K10" i="11" a="1"/>
  <c r="K10" i="11" s="1"/>
  <c r="K34" i="11" a="1"/>
  <c r="K34" i="11" s="1"/>
  <c r="L34" i="11" a="1"/>
  <c r="L34" i="11" s="1"/>
  <c r="K28" i="11" a="1"/>
  <c r="K28" i="11" s="1"/>
  <c r="L28" i="11" a="1"/>
  <c r="L28" i="11" s="1"/>
  <c r="L23" i="11" a="1"/>
  <c r="L23" i="11" s="1"/>
  <c r="K23" i="11" a="1"/>
  <c r="K23" i="11" s="1"/>
  <c r="L5" i="11" a="1"/>
  <c r="L5" i="11" s="1"/>
  <c r="K5" i="11" a="1"/>
  <c r="K5" i="11" s="1"/>
  <c r="K25" i="11" a="1"/>
  <c r="K25" i="11" s="1"/>
  <c r="L25" i="11" a="1"/>
  <c r="L25" i="11" s="1"/>
  <c r="L17" i="11" a="1"/>
  <c r="L17" i="11" s="1"/>
  <c r="K17" i="11" a="1"/>
  <c r="K17" i="11" s="1"/>
  <c r="K29" i="11" a="1"/>
  <c r="K29" i="11" s="1"/>
  <c r="L29" i="11" a="1"/>
  <c r="L29" i="11" s="1"/>
  <c r="K19" i="11" a="1"/>
  <c r="K19" i="11" s="1"/>
  <c r="L19" i="11" a="1"/>
  <c r="L19" i="11" s="1"/>
  <c r="L4" i="11" a="1"/>
  <c r="L4" i="11" s="1"/>
  <c r="K4" i="11" a="1"/>
  <c r="K4" i="11" s="1"/>
  <c r="K11" i="11" a="1"/>
  <c r="K11" i="11" s="1"/>
  <c r="L11" i="11" a="1"/>
  <c r="L11" i="11" s="1"/>
  <c r="L16" i="11" a="1"/>
  <c r="L16" i="11" s="1"/>
  <c r="K16" i="11" a="1"/>
  <c r="K16" i="11" s="1"/>
  <c r="K31" i="11" a="1"/>
  <c r="K31" i="11" s="1"/>
  <c r="L31" i="11" a="1"/>
  <c r="L31" i="11" s="1"/>
  <c r="L21" i="11" a="1"/>
  <c r="L21" i="11" s="1"/>
  <c r="K21" i="11" a="1"/>
  <c r="K21" i="11" s="1"/>
  <c r="X39" i="6"/>
  <c r="Q3" i="11" l="1"/>
  <c r="Q5" i="11"/>
  <c r="Q2" i="11"/>
  <c r="Q4" i="11"/>
  <c r="Q6" i="11"/>
  <c r="X33" i="6"/>
  <c r="X34" i="6"/>
  <c r="X36" i="6"/>
  <c r="X37" i="6"/>
  <c r="X38" i="6"/>
  <c r="I34" i="6"/>
  <c r="I35" i="6"/>
  <c r="I36" i="6"/>
  <c r="I37" i="6"/>
  <c r="I38" i="6"/>
  <c r="I39" i="6"/>
  <c r="F34" i="6"/>
  <c r="F35" i="6"/>
  <c r="F36" i="6"/>
  <c r="F37" i="6"/>
  <c r="F38" i="6"/>
  <c r="F39" i="6"/>
  <c r="C12" i="6"/>
  <c r="N10" i="9" l="1"/>
  <c r="P6" i="11"/>
  <c r="M10" i="9" s="1"/>
  <c r="O6" i="11"/>
  <c r="L10" i="9" s="1"/>
  <c r="N6" i="9"/>
  <c r="P2" i="11"/>
  <c r="M6" i="9" s="1"/>
  <c r="O2" i="11"/>
  <c r="L6" i="9" s="1"/>
  <c r="N9" i="9"/>
  <c r="P5" i="11"/>
  <c r="M9" i="9" s="1"/>
  <c r="O5" i="11"/>
  <c r="L9" i="9" s="1"/>
  <c r="N8" i="9"/>
  <c r="O4" i="11"/>
  <c r="L8" i="9" s="1"/>
  <c r="P4" i="11"/>
  <c r="M8" i="9" s="1"/>
  <c r="N7" i="9"/>
  <c r="P3" i="11"/>
  <c r="M7" i="9" s="1"/>
  <c r="O3" i="11"/>
  <c r="L7" i="9" s="1"/>
  <c r="X35" i="6"/>
  <c r="I13" i="6" l="1"/>
  <c r="I14" i="6"/>
  <c r="I15" i="6"/>
  <c r="I16" i="6"/>
  <c r="I17" i="6"/>
  <c r="I24" i="6"/>
  <c r="I25" i="6"/>
  <c r="I26" i="6"/>
  <c r="I27" i="6"/>
  <c r="I28" i="6"/>
  <c r="I29" i="6"/>
  <c r="I30" i="6"/>
  <c r="I31" i="6"/>
  <c r="I32" i="6"/>
  <c r="I33" i="6"/>
  <c r="F13" i="6"/>
  <c r="F14" i="6"/>
  <c r="F15" i="6"/>
  <c r="F16" i="6"/>
  <c r="F17" i="6"/>
  <c r="F24" i="6"/>
  <c r="F25" i="6"/>
  <c r="F26" i="6"/>
  <c r="F27" i="6"/>
  <c r="F28" i="6"/>
  <c r="F29" i="6"/>
  <c r="F30" i="6"/>
  <c r="F31" i="6"/>
  <c r="F32" i="6"/>
  <c r="F33" i="6"/>
  <c r="X13" i="6"/>
  <c r="X14" i="6"/>
  <c r="X15" i="6"/>
  <c r="X16" i="6"/>
  <c r="X17" i="6"/>
  <c r="X24" i="6"/>
  <c r="X25" i="6"/>
  <c r="X26" i="6"/>
  <c r="X27" i="6"/>
  <c r="X28" i="6"/>
  <c r="X29" i="6"/>
  <c r="X30" i="6"/>
  <c r="X31" i="6"/>
  <c r="X32" i="6"/>
  <c r="R5" i="8" l="1"/>
  <c r="O5" i="8"/>
  <c r="I5" i="8"/>
  <c r="F5" i="8"/>
  <c r="BC4" i="8"/>
  <c r="BB4" i="8"/>
  <c r="BA4" i="8"/>
  <c r="AZ4" i="8"/>
  <c r="AY4" i="8"/>
  <c r="AX4" i="8"/>
  <c r="AW4" i="8"/>
  <c r="AT4" i="8"/>
  <c r="AS4" i="8"/>
  <c r="AR4" i="8"/>
  <c r="AQ4" i="8"/>
  <c r="AP4" i="8"/>
  <c r="AO4" i="8"/>
  <c r="AN4" i="8"/>
  <c r="AM4" i="8"/>
  <c r="AL4" i="8"/>
  <c r="AK4" i="8"/>
  <c r="AJ4" i="8"/>
  <c r="AI4" i="8"/>
  <c r="AH4" i="8"/>
  <c r="AG4" i="8"/>
  <c r="AF4" i="8"/>
  <c r="AD4" i="8"/>
  <c r="AC4" i="8"/>
  <c r="AB4" i="8"/>
  <c r="I12" i="6"/>
  <c r="F12" i="6"/>
  <c r="W12" i="6"/>
  <c r="W4" i="6" s="1"/>
  <c r="X4" i="6" s="1"/>
  <c r="S5" i="8" l="1"/>
  <c r="R4" i="8"/>
  <c r="X12" i="6"/>
  <c r="AJ3" i="8" l="1"/>
  <c r="Z3" i="8"/>
  <c r="Y3" i="8"/>
  <c r="X3" i="8"/>
  <c r="W3" i="8"/>
  <c r="U3" i="8"/>
  <c r="V3" i="8"/>
  <c r="H40" i="11"/>
  <c r="H29" i="11"/>
  <c r="H23" i="11"/>
  <c r="H17" i="11"/>
  <c r="H77" i="11"/>
  <c r="H33" i="11"/>
  <c r="H52" i="11"/>
  <c r="H21" i="11"/>
  <c r="H68" i="11"/>
  <c r="H51" i="11"/>
  <c r="H26" i="11"/>
  <c r="H20" i="11"/>
  <c r="H14" i="11"/>
  <c r="H30" i="11"/>
  <c r="H24" i="11"/>
  <c r="H69" i="11"/>
  <c r="H27" i="11"/>
  <c r="H74" i="11"/>
  <c r="H31" i="11"/>
  <c r="H25" i="11"/>
  <c r="H19" i="11"/>
  <c r="H41" i="11"/>
  <c r="H18" i="11"/>
  <c r="H39" i="11"/>
  <c r="H15" i="11"/>
  <c r="H43" i="11"/>
  <c r="H78" i="11"/>
  <c r="H72" i="11"/>
  <c r="H71" i="11"/>
  <c r="H7" i="11"/>
  <c r="H12" i="11"/>
  <c r="H65" i="11"/>
  <c r="H36" i="11"/>
  <c r="H66" i="11"/>
  <c r="H62" i="11"/>
  <c r="H42" i="11"/>
  <c r="H73" i="11"/>
  <c r="H47" i="11"/>
  <c r="H11" i="11"/>
  <c r="H48" i="11"/>
  <c r="H67" i="11"/>
  <c r="H75" i="11"/>
  <c r="H58" i="11"/>
  <c r="H50" i="11"/>
  <c r="H54" i="11"/>
  <c r="H61" i="11"/>
  <c r="H64" i="11"/>
  <c r="H32" i="11"/>
  <c r="H9" i="11"/>
  <c r="H59" i="11"/>
  <c r="H56" i="11"/>
  <c r="H6" i="11"/>
  <c r="H10" i="11"/>
  <c r="H2" i="11"/>
  <c r="M2" i="11" s="1"/>
  <c r="H49" i="11"/>
  <c r="H38" i="11"/>
  <c r="H57" i="11"/>
  <c r="H70" i="11"/>
  <c r="H46" i="11"/>
  <c r="H22" i="11"/>
  <c r="H16" i="11"/>
  <c r="H13" i="11"/>
  <c r="H34" i="11"/>
  <c r="H35" i="11"/>
  <c r="H63" i="11"/>
  <c r="H5" i="11"/>
  <c r="H28" i="11"/>
  <c r="H37" i="11"/>
  <c r="H44" i="11"/>
  <c r="H76" i="11"/>
  <c r="H55" i="11"/>
  <c r="H8" i="11"/>
  <c r="H45" i="11"/>
  <c r="H79" i="11"/>
  <c r="H3" i="11"/>
  <c r="H4" i="11"/>
  <c r="H53" i="11"/>
  <c r="H60" i="11"/>
  <c r="H69" i="10"/>
  <c r="H76" i="10"/>
  <c r="H63" i="10"/>
  <c r="H62" i="10"/>
  <c r="H26" i="10"/>
  <c r="H22" i="10"/>
  <c r="H37" i="10"/>
  <c r="H58" i="10"/>
  <c r="H60" i="10"/>
  <c r="H24" i="10"/>
  <c r="H67" i="10"/>
  <c r="H29" i="10"/>
  <c r="H2" i="10"/>
  <c r="M2" i="10" s="1"/>
  <c r="H57" i="10"/>
  <c r="H52" i="10"/>
  <c r="H51" i="10"/>
  <c r="H56" i="10"/>
  <c r="H20" i="10"/>
  <c r="H73" i="10"/>
  <c r="H31" i="10"/>
  <c r="H40" i="10"/>
  <c r="H54" i="10"/>
  <c r="H18" i="10"/>
  <c r="H72" i="10"/>
  <c r="H23" i="10"/>
  <c r="H77" i="10"/>
  <c r="H33" i="10"/>
  <c r="H34" i="10"/>
  <c r="H39" i="10"/>
  <c r="H50" i="10"/>
  <c r="H14" i="10"/>
  <c r="H61" i="10"/>
  <c r="H25" i="10"/>
  <c r="H16" i="10"/>
  <c r="H48" i="10"/>
  <c r="H12" i="10"/>
  <c r="H71" i="10"/>
  <c r="H17" i="10"/>
  <c r="H65" i="10"/>
  <c r="H27" i="10"/>
  <c r="H10" i="10"/>
  <c r="H45" i="10"/>
  <c r="H44" i="10"/>
  <c r="H8" i="10"/>
  <c r="H55" i="10"/>
  <c r="H19" i="10"/>
  <c r="H79" i="10"/>
  <c r="H42" i="10"/>
  <c r="H6" i="10"/>
  <c r="H59" i="10"/>
  <c r="H11" i="10"/>
  <c r="H53" i="10"/>
  <c r="H21" i="10"/>
  <c r="H9" i="10"/>
  <c r="H74" i="10"/>
  <c r="H38" i="10"/>
  <c r="H70" i="10"/>
  <c r="H49" i="10"/>
  <c r="H13" i="10"/>
  <c r="H78" i="10"/>
  <c r="H36" i="10"/>
  <c r="H64" i="10"/>
  <c r="H47" i="10"/>
  <c r="H5" i="10"/>
  <c r="H41" i="10"/>
  <c r="H15" i="10"/>
  <c r="H75" i="10"/>
  <c r="H68" i="10"/>
  <c r="H32" i="10"/>
  <c r="H46" i="10"/>
  <c r="H43" i="10"/>
  <c r="H7" i="10"/>
  <c r="H66" i="10"/>
  <c r="H30" i="10"/>
  <c r="H28" i="10"/>
  <c r="H35" i="10"/>
  <c r="H3" i="10"/>
  <c r="H4" i="10"/>
  <c r="AI3" i="6"/>
  <c r="C27" i="10"/>
  <c r="C9" i="10"/>
  <c r="C71" i="10"/>
  <c r="C17" i="10"/>
  <c r="C64" i="10"/>
  <c r="C28" i="10"/>
  <c r="C39" i="10"/>
  <c r="C79" i="10"/>
  <c r="C43" i="10"/>
  <c r="C7" i="10"/>
  <c r="C50" i="10"/>
  <c r="C78" i="10"/>
  <c r="C42" i="10"/>
  <c r="C77" i="10"/>
  <c r="C59" i="10"/>
  <c r="C11" i="10"/>
  <c r="C58" i="10"/>
  <c r="C22" i="10"/>
  <c r="C68" i="10"/>
  <c r="C73" i="10"/>
  <c r="C37" i="10"/>
  <c r="C33" i="10"/>
  <c r="C32" i="10"/>
  <c r="C72" i="10"/>
  <c r="C36" i="10"/>
  <c r="C6" i="10"/>
  <c r="C41" i="10"/>
  <c r="C75" i="10"/>
  <c r="C69" i="10"/>
  <c r="C63" i="10"/>
  <c r="C12" i="10"/>
  <c r="C47" i="10"/>
  <c r="C5" i="10"/>
  <c r="C52" i="10"/>
  <c r="C16" i="10"/>
  <c r="C56" i="10"/>
  <c r="C67" i="10"/>
  <c r="C31" i="10"/>
  <c r="C20" i="10"/>
  <c r="C66" i="10"/>
  <c r="C30" i="10"/>
  <c r="C13" i="10"/>
  <c r="C35" i="10"/>
  <c r="C21" i="10"/>
  <c r="C46" i="10"/>
  <c r="C10" i="10"/>
  <c r="C44" i="10"/>
  <c r="C61" i="10"/>
  <c r="C25" i="10"/>
  <c r="C51" i="10"/>
  <c r="C14" i="10"/>
  <c r="C60" i="10"/>
  <c r="C24" i="10"/>
  <c r="C53" i="10"/>
  <c r="C15" i="10"/>
  <c r="C23" i="10"/>
  <c r="C34" i="10"/>
  <c r="C8" i="10"/>
  <c r="C49" i="10"/>
  <c r="C62" i="10"/>
  <c r="C48" i="10"/>
  <c r="C29" i="10"/>
  <c r="C76" i="10"/>
  <c r="C40" i="10"/>
  <c r="C38" i="10"/>
  <c r="C26" i="10"/>
  <c r="C55" i="10"/>
  <c r="C19" i="10"/>
  <c r="C74" i="10"/>
  <c r="C2" i="10"/>
  <c r="C54" i="10"/>
  <c r="C18" i="10"/>
  <c r="C65" i="10"/>
  <c r="C57" i="10"/>
  <c r="C45" i="10"/>
  <c r="C70" i="10"/>
  <c r="C4" i="10"/>
  <c r="C3" i="10"/>
  <c r="Z3" i="6"/>
  <c r="CX3" i="6"/>
  <c r="CY3" i="6"/>
  <c r="CV3" i="6"/>
  <c r="AJ3" i="6"/>
  <c r="AE3" i="6"/>
  <c r="AR3" i="6"/>
  <c r="BD3" i="6"/>
  <c r="BP3" i="6"/>
  <c r="BV3" i="6"/>
  <c r="CH3" i="6"/>
  <c r="CT3" i="6"/>
  <c r="AG3" i="6"/>
  <c r="AF3" i="6"/>
  <c r="AL3" i="6"/>
  <c r="AX3" i="6"/>
  <c r="BJ3" i="6"/>
  <c r="CB3" i="6"/>
  <c r="CN3" i="6"/>
  <c r="BL3" i="6"/>
  <c r="CA3" i="6"/>
  <c r="AQ3" i="6"/>
  <c r="CL3" i="6"/>
  <c r="BB3" i="6"/>
  <c r="AB3" i="6"/>
  <c r="BM3" i="6"/>
  <c r="AS3" i="6"/>
  <c r="AT3" i="6"/>
  <c r="BU3" i="6"/>
  <c r="AK3" i="6"/>
  <c r="CF3" i="6"/>
  <c r="AV3" i="6"/>
  <c r="CQ3" i="6"/>
  <c r="BG3" i="6"/>
  <c r="BF3" i="6"/>
  <c r="BW3" i="6"/>
  <c r="AM3" i="6"/>
  <c r="AP3" i="6"/>
  <c r="BA3" i="6"/>
  <c r="CG3" i="6"/>
  <c r="CR3" i="6"/>
  <c r="AH3" i="6"/>
  <c r="CP3" i="6"/>
  <c r="AY3" i="6"/>
  <c r="CC3" i="6"/>
  <c r="AD3" i="6"/>
  <c r="BO3" i="6"/>
  <c r="AA3" i="6"/>
  <c r="BZ3" i="6"/>
  <c r="CK3" i="6"/>
  <c r="AN3" i="6"/>
  <c r="BQ3" i="6"/>
  <c r="AW3" i="6"/>
  <c r="CS3" i="6"/>
  <c r="BI3" i="6"/>
  <c r="BX3" i="6"/>
  <c r="BT3" i="6"/>
  <c r="CD3" i="6"/>
  <c r="CE3" i="6"/>
  <c r="AU3" i="6"/>
  <c r="CU3" i="6"/>
  <c r="BK3" i="6"/>
  <c r="CM3" i="6"/>
  <c r="BC3" i="6"/>
  <c r="AC3" i="6"/>
  <c r="BN3" i="6"/>
  <c r="AZ3" i="6"/>
  <c r="BY3" i="6"/>
  <c r="AO3" i="6"/>
  <c r="CO3" i="6"/>
  <c r="BE3" i="6"/>
  <c r="CJ3" i="6"/>
  <c r="BH3" i="6"/>
  <c r="BS3" i="6"/>
  <c r="CI3" i="6"/>
  <c r="BR3" i="6"/>
  <c r="CW3" i="6"/>
  <c r="AV3" i="8"/>
  <c r="AT3" i="8"/>
  <c r="AZ3" i="8"/>
  <c r="AY3" i="8"/>
  <c r="AP3" i="8"/>
  <c r="AK3" i="8"/>
  <c r="AH3" i="8"/>
  <c r="AU3" i="8"/>
  <c r="BC3" i="8"/>
  <c r="AI3" i="8"/>
  <c r="AR3" i="8"/>
  <c r="AQ3" i="8"/>
  <c r="AD3" i="8"/>
  <c r="AC3" i="8"/>
  <c r="AL3" i="8"/>
  <c r="S4" i="8"/>
  <c r="AX3" i="8"/>
  <c r="AB3" i="8"/>
  <c r="AE3" i="8"/>
  <c r="BA3" i="8"/>
  <c r="AG3" i="8"/>
  <c r="AA3" i="8"/>
  <c r="AM3" i="8"/>
  <c r="AO3" i="8"/>
  <c r="AN3" i="8"/>
  <c r="AF3" i="8"/>
  <c r="AW3" i="8"/>
  <c r="BB3" i="8"/>
  <c r="AS3" i="8"/>
  <c r="M4" i="10" l="1" a="1"/>
  <c r="M4" i="10" s="1"/>
  <c r="M5" i="11" a="1"/>
  <c r="M5" i="11" s="1"/>
  <c r="M3" i="10" a="1"/>
  <c r="M3" i="10" s="1"/>
  <c r="M8" i="11" a="1"/>
  <c r="M8" i="11" s="1"/>
  <c r="M7" i="11" a="1"/>
  <c r="M7" i="11" s="1"/>
  <c r="M10" i="11" a="1"/>
  <c r="M10" i="11" s="1"/>
  <c r="M18" i="11" a="1"/>
  <c r="M18" i="11" s="1"/>
  <c r="M27" i="11" a="1"/>
  <c r="M27" i="11" s="1"/>
  <c r="M26" i="11" a="1"/>
  <c r="M26" i="11" s="1"/>
  <c r="M20" i="11" a="1"/>
  <c r="M20" i="11" s="1"/>
  <c r="M35" i="11" a="1"/>
  <c r="M35" i="11" s="1"/>
  <c r="M6" i="11" a="1"/>
  <c r="M6" i="11" s="1"/>
  <c r="M17" i="11" a="1"/>
  <c r="M17" i="11" s="1"/>
  <c r="M32" i="11" a="1"/>
  <c r="M32" i="11" s="1"/>
  <c r="M4" i="11" a="1"/>
  <c r="M4" i="11" s="1"/>
  <c r="M3" i="11" a="1"/>
  <c r="M3" i="11" s="1"/>
  <c r="M34" i="11" a="1"/>
  <c r="M34" i="11" s="1"/>
  <c r="M11" i="11" a="1"/>
  <c r="M11" i="11" s="1"/>
  <c r="M36" i="11" a="1"/>
  <c r="M36" i="11" s="1"/>
  <c r="M19" i="11" a="1"/>
  <c r="M19" i="11" s="1"/>
  <c r="M24" i="11" a="1"/>
  <c r="M24" i="11" s="1"/>
  <c r="M23" i="11" a="1"/>
  <c r="M23" i="11" s="1"/>
  <c r="M22" i="11" a="1"/>
  <c r="M22" i="11" s="1"/>
  <c r="M33" i="11" a="1"/>
  <c r="M33" i="11" s="1"/>
  <c r="M37" i="11" a="1"/>
  <c r="M37" i="11" s="1"/>
  <c r="M13" i="11" a="1"/>
  <c r="M13" i="11" s="1"/>
  <c r="M38" i="11" a="1"/>
  <c r="M38" i="11" s="1"/>
  <c r="M25" i="11" a="1"/>
  <c r="M25" i="11" s="1"/>
  <c r="M30" i="11" a="1"/>
  <c r="M30" i="11" s="1"/>
  <c r="M21" i="11" a="1"/>
  <c r="M21" i="11" s="1"/>
  <c r="M29" i="11" a="1"/>
  <c r="M29" i="11" s="1"/>
  <c r="M28" i="11" a="1"/>
  <c r="M28" i="11" s="1"/>
  <c r="M16" i="11" a="1"/>
  <c r="M16" i="11" s="1"/>
  <c r="M9" i="11" a="1"/>
  <c r="M9" i="11" s="1"/>
  <c r="M12" i="11" a="1"/>
  <c r="M12" i="11" s="1"/>
  <c r="M15" i="11" a="1"/>
  <c r="M15" i="11" s="1"/>
  <c r="M31" i="11" a="1"/>
  <c r="M31" i="11" s="1"/>
  <c r="M14" i="11" a="1"/>
  <c r="M14" i="11" s="1"/>
  <c r="E54" i="10"/>
  <c r="E38" i="10"/>
  <c r="M7" i="10" a="1"/>
  <c r="M7" i="10" s="1"/>
  <c r="M20" i="10" a="1"/>
  <c r="M20" i="10" s="1"/>
  <c r="M12" i="10" a="1"/>
  <c r="M12" i="10" s="1"/>
  <c r="M13" i="10" a="1"/>
  <c r="M13" i="10" s="1"/>
  <c r="M21" i="10" a="1"/>
  <c r="M21" i="10" s="1"/>
  <c r="M10" i="10" a="1"/>
  <c r="M10" i="10" s="1"/>
  <c r="M18" i="10" a="1"/>
  <c r="M18" i="10" s="1"/>
  <c r="M26" i="10" a="1"/>
  <c r="M26" i="10" s="1"/>
  <c r="M35" i="10" a="1"/>
  <c r="M35" i="10" s="1"/>
  <c r="M5" i="10" a="1"/>
  <c r="M5" i="10" s="1"/>
  <c r="M19" i="10" a="1"/>
  <c r="M19" i="10" s="1"/>
  <c r="M27" i="10" a="1"/>
  <c r="M27" i="10" s="1"/>
  <c r="M16" i="10" a="1"/>
  <c r="M16" i="10" s="1"/>
  <c r="M34" i="10" a="1"/>
  <c r="M34" i="10" s="1"/>
  <c r="M24" i="10" a="1"/>
  <c r="M24" i="10" s="1"/>
  <c r="M9" i="10" a="1"/>
  <c r="M9" i="10" s="1"/>
  <c r="M28" i="10" a="1"/>
  <c r="M28" i="10" s="1"/>
  <c r="M32" i="10" a="1"/>
  <c r="M32" i="10" s="1"/>
  <c r="M11" i="10" a="1"/>
  <c r="M11" i="10" s="1"/>
  <c r="M25" i="10" a="1"/>
  <c r="M25" i="10" s="1"/>
  <c r="M33" i="10" a="1"/>
  <c r="M33" i="10" s="1"/>
  <c r="M15" i="10" a="1"/>
  <c r="M15" i="10" s="1"/>
  <c r="M22" i="10" a="1"/>
  <c r="M22" i="10" s="1"/>
  <c r="M30" i="10" a="1"/>
  <c r="M30" i="10" s="1"/>
  <c r="M38" i="10" a="1"/>
  <c r="M38" i="10" s="1"/>
  <c r="M8" i="10" a="1"/>
  <c r="M8" i="10" s="1"/>
  <c r="M17" i="10" a="1"/>
  <c r="M17" i="10" s="1"/>
  <c r="M31" i="10" a="1"/>
  <c r="M31" i="10" s="1"/>
  <c r="M29" i="10" a="1"/>
  <c r="M29" i="10" s="1"/>
  <c r="M36" i="10" a="1"/>
  <c r="M36" i="10" s="1"/>
  <c r="M6" i="10" a="1"/>
  <c r="M6" i="10" s="1"/>
  <c r="M14" i="10" a="1"/>
  <c r="M14" i="10" s="1"/>
  <c r="M23" i="10" a="1"/>
  <c r="M23" i="10" s="1"/>
  <c r="M37" i="10" a="1"/>
  <c r="M37" i="10" s="1"/>
  <c r="E44" i="10"/>
  <c r="E32" i="10"/>
  <c r="E70" i="10"/>
  <c r="E60" i="10"/>
  <c r="E10" i="10"/>
  <c r="E33" i="10"/>
  <c r="E11" i="10"/>
  <c r="E7" i="10"/>
  <c r="E17" i="10"/>
  <c r="E30" i="10"/>
  <c r="E58" i="10"/>
  <c r="E40" i="10"/>
  <c r="E75" i="10"/>
  <c r="E45" i="10"/>
  <c r="E74" i="10"/>
  <c r="E76" i="10"/>
  <c r="E34" i="10"/>
  <c r="E14" i="10"/>
  <c r="E46" i="10"/>
  <c r="E20" i="10"/>
  <c r="E5" i="10"/>
  <c r="E41" i="10"/>
  <c r="E37" i="10"/>
  <c r="E59" i="10"/>
  <c r="E43" i="10"/>
  <c r="E71" i="10"/>
  <c r="E49" i="10"/>
  <c r="E16" i="10"/>
  <c r="E50" i="10"/>
  <c r="E2" i="10"/>
  <c r="E52" i="10"/>
  <c r="E57" i="10"/>
  <c r="E19" i="10"/>
  <c r="E29" i="10"/>
  <c r="E23" i="10"/>
  <c r="E51" i="10"/>
  <c r="E21" i="10"/>
  <c r="E31" i="10"/>
  <c r="E47" i="10"/>
  <c r="E6" i="10"/>
  <c r="E73" i="10"/>
  <c r="E77" i="10"/>
  <c r="E79" i="10"/>
  <c r="E9" i="10"/>
  <c r="E24" i="10"/>
  <c r="E69" i="10"/>
  <c r="E64" i="10"/>
  <c r="E8" i="10"/>
  <c r="E66" i="10"/>
  <c r="E3" i="10"/>
  <c r="E65" i="10"/>
  <c r="E55" i="10"/>
  <c r="E48" i="10"/>
  <c r="E15" i="10"/>
  <c r="E25" i="10"/>
  <c r="E35" i="10"/>
  <c r="E67" i="10"/>
  <c r="E12" i="10"/>
  <c r="E36" i="10"/>
  <c r="E68" i="10"/>
  <c r="E42" i="10"/>
  <c r="E39" i="10"/>
  <c r="E27" i="10"/>
  <c r="E4" i="10"/>
  <c r="E18" i="10"/>
  <c r="E26" i="10"/>
  <c r="E62" i="10"/>
  <c r="E53" i="10"/>
  <c r="E61" i="10"/>
  <c r="E13" i="10"/>
  <c r="E56" i="10"/>
  <c r="E63" i="10"/>
  <c r="E72" i="10"/>
  <c r="E22" i="10"/>
  <c r="E78" i="10"/>
  <c r="E28" i="10"/>
  <c r="R6" i="11" l="1"/>
  <c r="O10" i="9" s="1"/>
  <c r="R2" i="11"/>
  <c r="O6" i="9" s="1"/>
  <c r="R3" i="11"/>
  <c r="O7" i="9" s="1"/>
  <c r="R5" i="11"/>
  <c r="O9" i="9" s="1"/>
  <c r="R4" i="11"/>
  <c r="O8" i="9" s="1"/>
  <c r="R5" i="10"/>
  <c r="O9" i="6" s="1"/>
  <c r="R6" i="10"/>
  <c r="O10" i="6" s="1"/>
  <c r="I2" i="10"/>
  <c r="I7" i="10"/>
  <c r="I13" i="10"/>
  <c r="I19" i="10"/>
  <c r="I25" i="10"/>
  <c r="I31" i="10"/>
  <c r="I37" i="10"/>
  <c r="I43" i="10"/>
  <c r="I49" i="10"/>
  <c r="I55" i="10"/>
  <c r="I61" i="10"/>
  <c r="I67" i="10"/>
  <c r="I73" i="10"/>
  <c r="I79" i="10"/>
  <c r="I29" i="10"/>
  <c r="I71" i="10"/>
  <c r="I12" i="10"/>
  <c r="I54" i="10"/>
  <c r="I78" i="10"/>
  <c r="I8" i="10"/>
  <c r="I14" i="10"/>
  <c r="I20" i="10"/>
  <c r="I26" i="10"/>
  <c r="I32" i="10"/>
  <c r="I38" i="10"/>
  <c r="I44" i="10"/>
  <c r="I50" i="10"/>
  <c r="I56" i="10"/>
  <c r="I62" i="10"/>
  <c r="I68" i="10"/>
  <c r="I74" i="10"/>
  <c r="I11" i="10"/>
  <c r="I35" i="10"/>
  <c r="I59" i="10"/>
  <c r="I24" i="10"/>
  <c r="I42" i="10"/>
  <c r="I66" i="10"/>
  <c r="I3" i="10"/>
  <c r="I9" i="10"/>
  <c r="I15" i="10"/>
  <c r="I21" i="10"/>
  <c r="I27" i="10"/>
  <c r="I33" i="10"/>
  <c r="I39" i="10"/>
  <c r="I45" i="10"/>
  <c r="I51" i="10"/>
  <c r="I57" i="10"/>
  <c r="I63" i="10"/>
  <c r="I69" i="10"/>
  <c r="I75" i="10"/>
  <c r="I17" i="10"/>
  <c r="I47" i="10"/>
  <c r="I65" i="10"/>
  <c r="I36" i="10"/>
  <c r="I60" i="10"/>
  <c r="I4" i="10"/>
  <c r="I10" i="10"/>
  <c r="I16" i="10"/>
  <c r="I22" i="10"/>
  <c r="I28" i="10"/>
  <c r="I34" i="10"/>
  <c r="I40" i="10"/>
  <c r="I46" i="10"/>
  <c r="I52" i="10"/>
  <c r="I58" i="10"/>
  <c r="I64" i="10"/>
  <c r="I70" i="10"/>
  <c r="I76" i="10"/>
  <c r="I5" i="10"/>
  <c r="I23" i="10"/>
  <c r="I41" i="10"/>
  <c r="I53" i="10"/>
  <c r="I77" i="10"/>
  <c r="I6" i="10"/>
  <c r="I18" i="10"/>
  <c r="I30" i="10"/>
  <c r="I48" i="10"/>
  <c r="I72" i="10"/>
  <c r="R2" i="10"/>
  <c r="O6" i="6" s="1"/>
  <c r="R3" i="10"/>
  <c r="O7" i="6" s="1"/>
  <c r="R4" i="10"/>
  <c r="O8" i="6" s="1"/>
  <c r="G30" i="10"/>
  <c r="F30" i="10" s="1"/>
  <c r="G79" i="10"/>
  <c r="F79" i="10" s="1"/>
  <c r="G37" i="10"/>
  <c r="F37" i="10" s="1"/>
  <c r="G6" i="10"/>
  <c r="F6" i="10" s="1"/>
  <c r="G49" i="10"/>
  <c r="F49" i="10" s="1"/>
  <c r="G12" i="10"/>
  <c r="F12" i="10" s="1"/>
  <c r="G55" i="10"/>
  <c r="F55" i="10" s="1"/>
  <c r="G67" i="10"/>
  <c r="F67" i="10" s="1"/>
  <c r="G18" i="10"/>
  <c r="F18" i="10" s="1"/>
  <c r="G61" i="10"/>
  <c r="F61" i="10" s="1"/>
  <c r="G24" i="10"/>
  <c r="F24" i="10" s="1"/>
  <c r="G41" i="10"/>
  <c r="F41" i="10" s="1"/>
  <c r="G52" i="10"/>
  <c r="F52" i="10" s="1"/>
  <c r="G11" i="10"/>
  <c r="F11" i="10" s="1"/>
  <c r="G34" i="10"/>
  <c r="F34" i="10" s="1"/>
  <c r="G71" i="10"/>
  <c r="F71" i="10" s="1"/>
  <c r="G56" i="10"/>
  <c r="F56" i="10" s="1"/>
  <c r="G13" i="10"/>
  <c r="F13" i="10" s="1"/>
  <c r="G42" i="10"/>
  <c r="F42" i="10" s="1"/>
  <c r="G63" i="10"/>
  <c r="F63" i="10" s="1"/>
  <c r="G39" i="10"/>
  <c r="F39" i="10" s="1"/>
  <c r="G48" i="10"/>
  <c r="F48" i="10" s="1"/>
  <c r="G74" i="10"/>
  <c r="F74" i="10" s="1"/>
  <c r="G16" i="10"/>
  <c r="F16" i="10" s="1"/>
  <c r="G65" i="10"/>
  <c r="F65" i="10" s="1"/>
  <c r="G50" i="10"/>
  <c r="F50" i="10" s="1"/>
  <c r="G40" i="10"/>
  <c r="F40" i="10" s="1"/>
  <c r="G23" i="10"/>
  <c r="F23" i="10" s="1"/>
  <c r="G15" i="10"/>
  <c r="F15" i="10" s="1"/>
  <c r="G17" i="10"/>
  <c r="F17" i="10" s="1"/>
  <c r="G2" i="10"/>
  <c r="F2" i="10" s="1"/>
  <c r="G35" i="10"/>
  <c r="F35" i="10" s="1"/>
  <c r="G72" i="10"/>
  <c r="F72" i="10" s="1"/>
  <c r="G77" i="10"/>
  <c r="F77" i="10" s="1"/>
  <c r="G8" i="10"/>
  <c r="F8" i="10" s="1"/>
  <c r="G53" i="10"/>
  <c r="F53" i="10" s="1"/>
  <c r="G19" i="10"/>
  <c r="F19" i="10" s="1"/>
  <c r="G36" i="10"/>
  <c r="F36" i="10" s="1"/>
  <c r="G73" i="10"/>
  <c r="F73" i="10" s="1"/>
  <c r="G31" i="10"/>
  <c r="F31" i="10" s="1"/>
  <c r="G44" i="10"/>
  <c r="F44" i="10" s="1"/>
  <c r="G54" i="10"/>
  <c r="F54" i="10" s="1"/>
  <c r="G26" i="10"/>
  <c r="F26" i="10" s="1"/>
  <c r="G28" i="10"/>
  <c r="F28" i="10" s="1"/>
  <c r="G46" i="10"/>
  <c r="F46" i="10" s="1"/>
  <c r="G33" i="10"/>
  <c r="F33" i="10" s="1"/>
  <c r="G5" i="10"/>
  <c r="F5" i="10" s="1"/>
  <c r="G47" i="10"/>
  <c r="F47" i="10" s="1"/>
  <c r="G69" i="10"/>
  <c r="F69" i="10" s="1"/>
  <c r="G29" i="10"/>
  <c r="F29" i="10" s="1"/>
  <c r="G32" i="10"/>
  <c r="F32" i="10" s="1"/>
  <c r="G66" i="10"/>
  <c r="F66" i="10" s="1"/>
  <c r="G57" i="10"/>
  <c r="F57" i="10" s="1"/>
  <c r="G38" i="10"/>
  <c r="F38" i="10" s="1"/>
  <c r="G70" i="10"/>
  <c r="F70" i="10" s="1"/>
  <c r="G27" i="10"/>
  <c r="F27" i="10" s="1"/>
  <c r="G59" i="10"/>
  <c r="F59" i="10" s="1"/>
  <c r="G22" i="10"/>
  <c r="F22" i="10" s="1"/>
  <c r="G68" i="10"/>
  <c r="F68" i="10" s="1"/>
  <c r="G78" i="10"/>
  <c r="F78" i="10" s="1"/>
  <c r="G25" i="10"/>
  <c r="F25" i="10" s="1"/>
  <c r="G51" i="10"/>
  <c r="F51" i="10" s="1"/>
  <c r="G9" i="10"/>
  <c r="F9" i="10" s="1"/>
  <c r="G64" i="10"/>
  <c r="F64" i="10" s="1"/>
  <c r="G45" i="10"/>
  <c r="F45" i="10" s="1"/>
  <c r="G10" i="10"/>
  <c r="F10" i="10" s="1"/>
  <c r="G43" i="10"/>
  <c r="F43" i="10" s="1"/>
  <c r="G3" i="10"/>
  <c r="F3" i="10" s="1"/>
  <c r="G76" i="10"/>
  <c r="F76" i="10" s="1"/>
  <c r="G60" i="10"/>
  <c r="F60" i="10" s="1"/>
  <c r="G7" i="10"/>
  <c r="F7" i="10" s="1"/>
  <c r="G21" i="10"/>
  <c r="F21" i="10" s="1"/>
  <c r="G14" i="10"/>
  <c r="F14" i="10" s="1"/>
  <c r="G62" i="10"/>
  <c r="F62" i="10" s="1"/>
  <c r="G58" i="10"/>
  <c r="F58" i="10" s="1"/>
  <c r="G4" i="10"/>
  <c r="F4" i="10" s="1"/>
  <c r="G20" i="10"/>
  <c r="F20" i="10" s="1"/>
  <c r="G75" i="10"/>
  <c r="F75" i="10" s="1"/>
  <c r="J22" i="10" l="1" a="1"/>
  <c r="J22" i="10" s="1"/>
  <c r="J21" i="10" a="1"/>
  <c r="J21" i="10" s="1"/>
  <c r="J24" i="10" a="1"/>
  <c r="J24" i="10" s="1"/>
  <c r="J26" i="10" a="1"/>
  <c r="J26" i="10" s="1"/>
  <c r="J12" i="10" a="1"/>
  <c r="J12" i="10" s="1"/>
  <c r="J25" i="10" a="1"/>
  <c r="J25" i="10" s="1"/>
  <c r="J30" i="10" a="1"/>
  <c r="J30" i="10" s="1"/>
  <c r="J23" i="10" a="1"/>
  <c r="J23" i="10" s="1"/>
  <c r="J16" i="10" a="1"/>
  <c r="J16" i="10" s="1"/>
  <c r="J15" i="10" a="1"/>
  <c r="J15" i="10" s="1"/>
  <c r="J20" i="10" a="1"/>
  <c r="J20" i="10" s="1"/>
  <c r="J19" i="10" a="1"/>
  <c r="J19" i="10" s="1"/>
  <c r="J18" i="10" a="1"/>
  <c r="J18" i="10" s="1"/>
  <c r="J5" i="10" a="1"/>
  <c r="J5" i="10" s="1"/>
  <c r="J10" i="10" a="1"/>
  <c r="J10" i="10" s="1"/>
  <c r="J17" i="10" a="1"/>
  <c r="J17" i="10" s="1"/>
  <c r="J9" i="10" a="1"/>
  <c r="J9" i="10" s="1"/>
  <c r="J35" i="10" a="1"/>
  <c r="J35" i="10" s="1"/>
  <c r="J14" i="10" a="1"/>
  <c r="J14" i="10" s="1"/>
  <c r="J29" i="10" a="1"/>
  <c r="J29" i="10" s="1"/>
  <c r="J13" i="10" a="1"/>
  <c r="J13" i="10" s="1"/>
  <c r="J6" i="10" a="1"/>
  <c r="J6" i="10" s="1"/>
  <c r="J4" i="10" a="1"/>
  <c r="J4" i="10" s="1"/>
  <c r="J3" i="10" a="1"/>
  <c r="J3" i="10" s="1"/>
  <c r="J11" i="10" a="1"/>
  <c r="J11" i="10" s="1"/>
  <c r="J8" i="10" a="1"/>
  <c r="J8" i="10" s="1"/>
  <c r="J7" i="10" a="1"/>
  <c r="J7" i="10" s="1"/>
  <c r="J34" i="10" a="1"/>
  <c r="J34" i="10" s="1"/>
  <c r="J33" i="10" a="1"/>
  <c r="J33" i="10" s="1"/>
  <c r="J38" i="10" a="1"/>
  <c r="J38" i="10" s="1"/>
  <c r="J37" i="10" a="1"/>
  <c r="J37" i="10" s="1"/>
  <c r="J28" i="10" a="1"/>
  <c r="J28" i="10" s="1"/>
  <c r="J36" i="10" a="1"/>
  <c r="J36" i="10" s="1"/>
  <c r="J27" i="10" a="1"/>
  <c r="J27" i="10" s="1"/>
  <c r="J32" i="10" a="1"/>
  <c r="J32" i="10" s="1"/>
  <c r="J31" i="10" a="1"/>
  <c r="J31" i="10" s="1"/>
  <c r="J2" i="10" a="1"/>
  <c r="J2" i="10" s="1"/>
  <c r="K18" i="10" a="1"/>
  <c r="K18" i="10" s="1"/>
  <c r="K28" i="10" a="1"/>
  <c r="K28" i="10" s="1"/>
  <c r="K27" i="10" a="1"/>
  <c r="K27" i="10" s="1"/>
  <c r="K31" i="10" a="1"/>
  <c r="K31" i="10" s="1"/>
  <c r="K22" i="10" a="1"/>
  <c r="K22" i="10" s="1"/>
  <c r="K21" i="10" a="1"/>
  <c r="K21" i="10" s="1"/>
  <c r="K24" i="10" a="1"/>
  <c r="K24" i="10" s="1"/>
  <c r="K26" i="10" a="1"/>
  <c r="K26" i="10" s="1"/>
  <c r="K12" i="10" a="1"/>
  <c r="K12" i="10" s="1"/>
  <c r="K25" i="10" a="1"/>
  <c r="K25" i="10" s="1"/>
  <c r="K36" i="10" a="1"/>
  <c r="K36" i="10" s="1"/>
  <c r="K32" i="10" a="1"/>
  <c r="K32" i="10" s="1"/>
  <c r="K30" i="10" a="1"/>
  <c r="K30" i="10" s="1"/>
  <c r="K23" i="10" a="1"/>
  <c r="K23" i="10" s="1"/>
  <c r="K16" i="10" a="1"/>
  <c r="K16" i="10" s="1"/>
  <c r="K15" i="10" a="1"/>
  <c r="K15" i="10" s="1"/>
  <c r="K20" i="10" a="1"/>
  <c r="K20" i="10" s="1"/>
  <c r="K19" i="10" a="1"/>
  <c r="K19" i="10" s="1"/>
  <c r="K5" i="10" a="1"/>
  <c r="K5" i="10" s="1"/>
  <c r="K10" i="10" a="1"/>
  <c r="K10" i="10" s="1"/>
  <c r="K17" i="10" a="1"/>
  <c r="K17" i="10" s="1"/>
  <c r="K9" i="10" a="1"/>
  <c r="K9" i="10" s="1"/>
  <c r="K35" i="10" a="1"/>
  <c r="K35" i="10" s="1"/>
  <c r="K14" i="10" a="1"/>
  <c r="K14" i="10" s="1"/>
  <c r="K29" i="10" a="1"/>
  <c r="K29" i="10" s="1"/>
  <c r="K13" i="10" a="1"/>
  <c r="K13" i="10" s="1"/>
  <c r="K6" i="10" a="1"/>
  <c r="K6" i="10" s="1"/>
  <c r="K4" i="10" a="1"/>
  <c r="K4" i="10" s="1"/>
  <c r="K3" i="10" a="1"/>
  <c r="K3" i="10" s="1"/>
  <c r="K11" i="10" a="1"/>
  <c r="K11" i="10" s="1"/>
  <c r="K8" i="10" a="1"/>
  <c r="K8" i="10" s="1"/>
  <c r="K7" i="10" a="1"/>
  <c r="K7" i="10" s="1"/>
  <c r="K34" i="10" a="1"/>
  <c r="K34" i="10" s="1"/>
  <c r="K33" i="10" a="1"/>
  <c r="K33" i="10" s="1"/>
  <c r="K38" i="10" a="1"/>
  <c r="K38" i="10" s="1"/>
  <c r="K37" i="10" a="1"/>
  <c r="K37" i="10" s="1"/>
  <c r="L2" i="10"/>
  <c r="K2" i="10" a="1"/>
  <c r="K2" i="10" s="1"/>
  <c r="L28" i="10" a="1"/>
  <c r="L28" i="10" s="1"/>
  <c r="L34" i="10" a="1"/>
  <c r="L34" i="10" s="1"/>
  <c r="L3" i="10" a="1"/>
  <c r="L3" i="10" s="1"/>
  <c r="L37" i="10" a="1"/>
  <c r="L37" i="10" s="1"/>
  <c r="L33" i="10" a="1"/>
  <c r="L33" i="10" s="1"/>
  <c r="L24" i="10" a="1"/>
  <c r="L24" i="10" s="1"/>
  <c r="L17" i="10" a="1"/>
  <c r="L17" i="10" s="1"/>
  <c r="L7" i="10" a="1"/>
  <c r="L7" i="10" s="1"/>
  <c r="L8" i="10" a="1"/>
  <c r="L8" i="10" s="1"/>
  <c r="L10" i="10" a="1"/>
  <c r="L10" i="10" s="1"/>
  <c r="L21" i="10" a="1"/>
  <c r="L21" i="10" s="1"/>
  <c r="L12" i="10" a="1"/>
  <c r="L12" i="10" s="1"/>
  <c r="L35" i="10" a="1"/>
  <c r="L35" i="10" s="1"/>
  <c r="L27" i="10" a="1"/>
  <c r="L27" i="10" s="1"/>
  <c r="L14" i="10" a="1"/>
  <c r="L14" i="10" s="1"/>
  <c r="L9" i="10" a="1"/>
  <c r="L9" i="10" s="1"/>
  <c r="L16" i="10" a="1"/>
  <c r="L16" i="10" s="1"/>
  <c r="L4" i="10" a="1"/>
  <c r="L4" i="10" s="1"/>
  <c r="L18" i="10" a="1"/>
  <c r="L18" i="10" s="1"/>
  <c r="L32" i="10" a="1"/>
  <c r="L32" i="10" s="1"/>
  <c r="L23" i="10" a="1"/>
  <c r="L23" i="10" s="1"/>
  <c r="L19" i="10" a="1"/>
  <c r="L19" i="10" s="1"/>
  <c r="L20" i="10" a="1"/>
  <c r="L20" i="10" s="1"/>
  <c r="L15" i="10" a="1"/>
  <c r="L15" i="10" s="1"/>
  <c r="L36" i="10" a="1"/>
  <c r="L36" i="10" s="1"/>
  <c r="L6" i="10" a="1"/>
  <c r="L6" i="10" s="1"/>
  <c r="L26" i="10" a="1"/>
  <c r="L26" i="10" s="1"/>
  <c r="L31" i="10" a="1"/>
  <c r="L31" i="10" s="1"/>
  <c r="L11" i="10" a="1"/>
  <c r="L11" i="10" s="1"/>
  <c r="L13" i="10" a="1"/>
  <c r="L13" i="10" s="1"/>
  <c r="L25" i="10" a="1"/>
  <c r="L25" i="10" s="1"/>
  <c r="L30" i="10" a="1"/>
  <c r="L30" i="10" s="1"/>
  <c r="L22" i="10" a="1"/>
  <c r="L22" i="10" s="1"/>
  <c r="L5" i="10" a="1"/>
  <c r="L5" i="10" s="1"/>
  <c r="L29" i="10" a="1"/>
  <c r="L29" i="10" s="1"/>
  <c r="L38" i="10" a="1"/>
  <c r="L38" i="10" s="1"/>
  <c r="Q6" i="10" l="1"/>
  <c r="N10" i="6" s="1"/>
  <c r="Q5" i="10"/>
  <c r="N9" i="6" s="1"/>
  <c r="Q3" i="10"/>
  <c r="N7" i="6" s="1"/>
  <c r="Q4" i="10"/>
  <c r="N8" i="6" s="1"/>
  <c r="Q2" i="10"/>
  <c r="N6" i="6" s="1"/>
  <c r="P3" i="10" l="1"/>
  <c r="M7" i="6" s="1"/>
  <c r="O3" i="10"/>
  <c r="L7" i="6" s="1"/>
  <c r="P2" i="10"/>
  <c r="M6" i="6" s="1"/>
  <c r="O2" i="10"/>
  <c r="L6" i="6" s="1"/>
  <c r="P4" i="10"/>
  <c r="M8" i="6" s="1"/>
  <c r="O4" i="10"/>
  <c r="L8" i="6" s="1"/>
  <c r="O5" i="10"/>
  <c r="L9" i="6" s="1"/>
  <c r="P5" i="10"/>
  <c r="M9" i="6" s="1"/>
  <c r="P6" i="10"/>
  <c r="M10" i="6" s="1"/>
  <c r="O6" i="10"/>
  <c r="L10" i="6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<sst xmlns="http://schemas.openxmlformats.org/spreadsheetml/2006/main" count="421" uniqueCount="170">
  <si>
    <t>出荷前監査報告書</t>
  </si>
  <si>
    <t>UQ検品内容纏め</t>
  </si>
  <si>
    <t>Factory</t>
  </si>
  <si>
    <t>Date of issue</t>
  </si>
  <si>
    <t>Inspection Type</t>
  </si>
  <si>
    <t>Audit Start Time</t>
  </si>
  <si>
    <t>Audit End Time</t>
  </si>
  <si>
    <t>Total Hours</t>
  </si>
  <si>
    <t>Audit Result</t>
  </si>
  <si>
    <t xml:space="preserve"> Item Name</t>
  </si>
  <si>
    <t>Style NO.</t>
  </si>
  <si>
    <t>POーNO</t>
  </si>
  <si>
    <t>Country</t>
  </si>
  <si>
    <t>PO  WH</t>
  </si>
  <si>
    <t>Audit Qty.</t>
  </si>
  <si>
    <t>Acceptable Defect Qty</t>
  </si>
  <si>
    <t>DefectQty.</t>
  </si>
  <si>
    <t>Defect %</t>
  </si>
  <si>
    <t>Person</t>
  </si>
  <si>
    <t>合計</t>
  </si>
  <si>
    <t>Top 5 Defects</t>
  </si>
  <si>
    <t>Defect  Name</t>
  </si>
  <si>
    <t>Defect QTY</t>
  </si>
  <si>
    <t>Factory In Time</t>
  </si>
  <si>
    <t>Factory Out Time</t>
  </si>
  <si>
    <t>Shipping Qty</t>
  </si>
  <si>
    <t>Report Number</t>
  </si>
  <si>
    <t>1.Bad packing</t>
  </si>
  <si>
    <t>2.Wrong quantity packed</t>
  </si>
  <si>
    <t>3.Others</t>
  </si>
  <si>
    <t>Defect Categorie</t>
  </si>
  <si>
    <t>Item Name</t>
  </si>
  <si>
    <t xml:space="preserve">Nep, slub, fly </t>
  </si>
  <si>
    <t xml:space="preserve">Holes, scratches, tears </t>
  </si>
  <si>
    <t xml:space="preserve">Uneven dyeing, color difference, warp/weft streaks </t>
  </si>
  <si>
    <t xml:space="preserve">Poor texture, surface appearance/feel </t>
  </si>
  <si>
    <t xml:space="preserve">Skew </t>
  </si>
  <si>
    <t xml:space="preserve">Others </t>
  </si>
  <si>
    <t xml:space="preserve">Poor shape, non-symmetrical, dislocation </t>
  </si>
  <si>
    <t xml:space="preserve">Poor joining of patterns, poor prints/embroidery </t>
  </si>
  <si>
    <t xml:space="preserve">Staggered seams, spirality, wrinkles </t>
  </si>
  <si>
    <t>Puckering, gathered stitching</t>
  </si>
  <si>
    <t xml:space="preserve">Broken thread </t>
  </si>
  <si>
    <t xml:space="preserve">Broken material </t>
  </si>
  <si>
    <t xml:space="preserve">Insufficient stretch in seams </t>
  </si>
  <si>
    <t xml:space="preserve">Poor stitch length, poor thread tension </t>
  </si>
  <si>
    <t xml:space="preserve">Insufficient seam allowance, run-off stitches </t>
  </si>
  <si>
    <t xml:space="preserve">Needle marks, restitched seams </t>
  </si>
  <si>
    <t xml:space="preserve">Exposed lining </t>
  </si>
  <si>
    <t xml:space="preserve">Skipped stitches </t>
  </si>
  <si>
    <t xml:space="preserve">Sewn by mistake, puckered seams </t>
  </si>
  <si>
    <t xml:space="preserve">Missing stitches, missing bar tacks </t>
  </si>
  <si>
    <t>Insufficient strength,Pleated</t>
  </si>
  <si>
    <t xml:space="preserve">Poor quality (faded, burred, rusty, dirty) </t>
  </si>
  <si>
    <t xml:space="preserve">Poorly attached trim (deformed, damaged, crooked)                       </t>
  </si>
  <si>
    <t>Missing trim (detached)</t>
  </si>
  <si>
    <t xml:space="preserve">Misplaced/incorrect trim </t>
  </si>
  <si>
    <t xml:space="preserve">Poorly functioning </t>
  </si>
  <si>
    <t xml:space="preserve">Poorly finished thread ends, lint </t>
  </si>
  <si>
    <t xml:space="preserve">Dirty, stains </t>
  </si>
  <si>
    <t xml:space="preserve">Poor shape, non-symmetrical </t>
  </si>
  <si>
    <t xml:space="preserve">Glaze mark, wrinkles </t>
  </si>
  <si>
    <t xml:space="preserve">Poor wash treatment </t>
  </si>
  <si>
    <t xml:space="preserve">Poor measurements </t>
  </si>
  <si>
    <t xml:space="preserve">Poor packaging </t>
  </si>
  <si>
    <t xml:space="preserve">Wrong quantity packed </t>
  </si>
  <si>
    <t>INLINE</t>
  </si>
  <si>
    <t>-</t>
  </si>
  <si>
    <t>Defect Qty.</t>
  </si>
  <si>
    <t>1.Damage</t>
  </si>
  <si>
    <t>2.Needle breakage defect</t>
  </si>
  <si>
    <t>3.Hole, tear</t>
  </si>
  <si>
    <t>4.NEP</t>
  </si>
  <si>
    <t>5.SLUB</t>
  </si>
  <si>
    <t>6.Weft defect</t>
  </si>
  <si>
    <t>7.Unexpected things interwoven</t>
  </si>
  <si>
    <t>8.Bowing</t>
  </si>
  <si>
    <t>9.Odor</t>
  </si>
  <si>
    <t>10.Uneven dyeing</t>
  </si>
  <si>
    <t>11.Texture, surface defect</t>
  </si>
  <si>
    <t>12.Warp and weft defect</t>
  </si>
  <si>
    <t>13.Yarn severance</t>
  </si>
  <si>
    <t>1.Hue difference</t>
  </si>
  <si>
    <t>2.Unevenness</t>
  </si>
  <si>
    <t>3.Pieces not symmetrical</t>
  </si>
  <si>
    <t>4.Deformation (Defect in shape)</t>
  </si>
  <si>
    <t>5.Tight or loose part of fabric</t>
  </si>
  <si>
    <t>6.Uneven seam</t>
  </si>
  <si>
    <t>7.Spiralty, wrinkle</t>
  </si>
  <si>
    <t>8.PUCKERING</t>
  </si>
  <si>
    <t>9.Corrugation</t>
  </si>
  <si>
    <t>10.Thread breakage</t>
  </si>
  <si>
    <t>11.Lack of elasticity</t>
  </si>
  <si>
    <t>12.Incorrect stitching number</t>
  </si>
  <si>
    <t>13.Stitches out of seam allowance</t>
  </si>
  <si>
    <t>14.Missing stitch</t>
  </si>
  <si>
    <t>15.Lack of seam allowance</t>
  </si>
  <si>
    <t>16.Unexpected tuck</t>
  </si>
  <si>
    <t>17.Unexpected fullness</t>
  </si>
  <si>
    <t>18.Needle mark</t>
  </si>
  <si>
    <t>19.Sewing defects caused by machine</t>
  </si>
  <si>
    <t>20.Incorrect size of lining</t>
  </si>
  <si>
    <t>21.Skipped stitch</t>
  </si>
  <si>
    <t>22.Sewing involving unexpected parts</t>
  </si>
  <si>
    <t>23.Missing sewing process</t>
  </si>
  <si>
    <t>24.Mislocated bar-tack</t>
  </si>
  <si>
    <t>25.Incorrect thread tension</t>
  </si>
  <si>
    <t>26.Falling off of a thread</t>
  </si>
  <si>
    <t>27.Lack of reverse stitch</t>
  </si>
  <si>
    <t>28.Incorrect easing</t>
  </si>
  <si>
    <t>29.Piecing defect</t>
  </si>
  <si>
    <t>30.Incorrect lapped seam</t>
  </si>
  <si>
    <t>31.Incorrect trimming</t>
  </si>
  <si>
    <t>32.Lack of strength</t>
  </si>
  <si>
    <t>33.Incorrect buttonhole sewing</t>
  </si>
  <si>
    <t>34.Incorrect brand label sewing</t>
  </si>
  <si>
    <t>35.Sewing slip</t>
  </si>
  <si>
    <t>36.Incorrect position</t>
  </si>
  <si>
    <t>37.Incorrect pattern matching</t>
  </si>
  <si>
    <t>38.Peel off glue/delamination</t>
  </si>
  <si>
    <t>39.Visible/see through glue</t>
  </si>
  <si>
    <t>40.Bonding seam uneven/wavy</t>
  </si>
  <si>
    <t>41.Bonding seam not catch up/bad selvaged</t>
  </si>
  <si>
    <t>42.Stick glue/leaking glue</t>
  </si>
  <si>
    <t>43.Mold Shape</t>
  </si>
  <si>
    <t>44.Poor application glue position</t>
  </si>
  <si>
    <t>C : ACC</t>
  </si>
  <si>
    <t>1.Unsecured rivet and snap buttons</t>
  </si>
  <si>
    <t>2.Incorrect swaging</t>
  </si>
  <si>
    <t>3.Falling off of buttons</t>
  </si>
  <si>
    <t>4.Burr</t>
  </si>
  <si>
    <t>5.Incorrect zippers</t>
  </si>
  <si>
    <t>6.Incorrect indication of sub materials</t>
  </si>
  <si>
    <t>7.Incorrect quality of materials</t>
  </si>
  <si>
    <t>8.Missing accessories</t>
  </si>
  <si>
    <t>9.Adhesive interlining</t>
  </si>
  <si>
    <t>D : Finish</t>
  </si>
  <si>
    <t>1.Dust, lint</t>
  </si>
  <si>
    <t>2.Smear, stain</t>
  </si>
  <si>
    <t>3.Size</t>
  </si>
  <si>
    <t>4.Peel off and misalignment of prints</t>
  </si>
  <si>
    <t>5.Pressure mark</t>
  </si>
  <si>
    <t>6.Wash finish</t>
  </si>
  <si>
    <t>E : Safety</t>
  </si>
  <si>
    <t>1.Thread</t>
  </si>
  <si>
    <t>2.Hazardous object/ foreign bodies</t>
  </si>
  <si>
    <t>3.Odor</t>
  </si>
  <si>
    <t>PO Qty.(Pcs)</t>
  </si>
  <si>
    <t>PO Qty.(Pack)</t>
  </si>
  <si>
    <t>PO Qty.(Set)</t>
  </si>
  <si>
    <t>Defect type</t>
  </si>
  <si>
    <t>%</t>
  </si>
  <si>
    <t xml:space="preserve">Defect QTY </t>
  </si>
  <si>
    <t>Rank</t>
  </si>
  <si>
    <t>Defect Catagory (Sorted)</t>
  </si>
  <si>
    <t>Defect type (Sorted)</t>
  </si>
  <si>
    <t>% (Sorted)</t>
  </si>
  <si>
    <t>Defect QTY (Sorted)</t>
  </si>
  <si>
    <t>Defect Category</t>
  </si>
  <si>
    <t>Defect</t>
  </si>
  <si>
    <t>Defect Qty</t>
  </si>
  <si>
    <t>Ratio</t>
  </si>
  <si>
    <t>A : Fabrics</t>
  </si>
  <si>
    <t>B : Sewing</t>
  </si>
  <si>
    <t>F : Others</t>
  </si>
  <si>
    <t>A: Material Defects</t>
  </si>
  <si>
    <t>B: Sewing Defects</t>
  </si>
  <si>
    <t>C: Trim Defects</t>
  </si>
  <si>
    <t>D: Finishing Defects</t>
  </si>
  <si>
    <t>E: Others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</si>
</sst>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/mmm"/>
    <numFmt numFmtId="165" formatCode="[$-409]h:mm\ AM/PM;@"/>
    <numFmt numFmtId="166" formatCode="0;\-00;;@"/>
    <numFmt numFmtId="167" formatCode="dd\-mmm\-yyyy"/>
  </numFmts>
  <fonts count="70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ＭＳ Ｐゴシック"/>
      <family val="3"/>
      <charset val="128"/>
    </font>
    <font>
      <sz val="9"/>
      <name val="Arial"/>
      <family val="2"/>
    </font>
    <font>
      <u/>
      <sz val="11"/>
      <color indexed="12"/>
      <name val="ＭＳ Ｐゴシック"/>
      <family val="3"/>
      <charset val="128"/>
    </font>
    <font>
      <sz val="9"/>
      <color indexed="8"/>
      <name val="Arial"/>
      <family val="2"/>
    </font>
    <font>
      <sz val="10"/>
      <name val="Arial"/>
      <family val="2"/>
    </font>
    <font>
      <sz val="9"/>
      <color indexed="9"/>
      <name val="Arial"/>
      <family val="2"/>
    </font>
    <font>
      <sz val="11"/>
      <color indexed="20"/>
      <name val="??"/>
    </font>
    <font>
      <sz val="10"/>
      <color indexed="62"/>
      <name val="MS UI Gothic"/>
      <family val="3"/>
      <charset val="128"/>
    </font>
    <font>
      <b/>
      <sz val="15"/>
      <color indexed="56"/>
      <name val="??"/>
    </font>
    <font>
      <sz val="11"/>
      <name val="?? ?????"/>
      <family val="3"/>
      <charset val="128"/>
    </font>
    <font>
      <sz val="10"/>
      <color indexed="10"/>
      <name val="MS UI Gothic"/>
      <family val="3"/>
      <charset val="128"/>
    </font>
    <font>
      <sz val="10"/>
      <color indexed="52"/>
      <name val="MS UI Gothic"/>
      <family val="3"/>
      <charset val="128"/>
    </font>
    <font>
      <b/>
      <sz val="15"/>
      <color indexed="56"/>
      <name val="MS UI Gothic"/>
      <family val="3"/>
      <charset val="128"/>
    </font>
    <font>
      <b/>
      <sz val="13"/>
      <color indexed="56"/>
      <name val="MS UI Gothic"/>
      <family val="3"/>
      <charset val="128"/>
    </font>
    <font>
      <b/>
      <sz val="11"/>
      <color indexed="56"/>
      <name val="MS UI Gothic"/>
      <family val="3"/>
      <charset val="128"/>
    </font>
    <font>
      <b/>
      <sz val="18"/>
      <color indexed="56"/>
      <name val="?? ?????"/>
      <family val="3"/>
      <charset val="128"/>
    </font>
    <font>
      <b/>
      <sz val="10"/>
      <color indexed="9"/>
      <name val="MS UI Gothic"/>
      <family val="3"/>
      <charset val="128"/>
    </font>
    <font>
      <sz val="11"/>
      <color indexed="52"/>
      <name val="??"/>
    </font>
    <font>
      <sz val="10"/>
      <color indexed="9"/>
      <name val="MS UI Gothic"/>
      <family val="3"/>
      <charset val="128"/>
    </font>
    <font>
      <sz val="11"/>
      <color indexed="9"/>
      <name val="??"/>
    </font>
    <font>
      <sz val="10"/>
      <color indexed="60"/>
      <name val="MS UI Gothic"/>
      <family val="3"/>
      <charset val="128"/>
    </font>
    <font>
      <sz val="11"/>
      <color indexed="10"/>
      <name val="??"/>
    </font>
    <font>
      <i/>
      <sz val="10"/>
      <color indexed="23"/>
      <name val="MS UI Gothic"/>
      <family val="3"/>
      <charset val="128"/>
    </font>
    <font>
      <sz val="10"/>
      <color indexed="8"/>
      <name val="MS UI Gothic"/>
      <family val="3"/>
      <charset val="128"/>
    </font>
    <font>
      <sz val="11"/>
      <color indexed="8"/>
      <name val="??"/>
    </font>
    <font>
      <sz val="11"/>
      <color indexed="8"/>
      <name val="宋体"/>
    </font>
    <font>
      <sz val="11"/>
      <color indexed="9"/>
      <name val="宋体"/>
    </font>
    <font>
      <sz val="11"/>
      <color indexed="8"/>
      <name val="Calibri"/>
      <family val="2"/>
    </font>
    <font>
      <sz val="11"/>
      <name val="ＭＳ Ｐゴシック"/>
      <charset val="128"/>
    </font>
    <font>
      <sz val="11"/>
      <name val="?? ?????"/>
      <charset val="128"/>
    </font>
    <font>
      <sz val="11"/>
      <color indexed="8"/>
      <name val="Calibri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8"/>
      <color indexed="56"/>
      <name val="ＭＳ Ｐゴシック"/>
      <family val="3"/>
      <charset val="128"/>
    </font>
    <font>
      <b/>
      <sz val="10"/>
      <color indexed="63"/>
      <name val="MS UI Gothic"/>
      <family val="3"/>
      <charset val="128"/>
    </font>
    <font>
      <sz val="11"/>
      <color indexed="17"/>
      <name val="宋体"/>
    </font>
    <font>
      <sz val="11"/>
      <color indexed="20"/>
      <name val="宋体"/>
    </font>
    <font>
      <sz val="10"/>
      <color indexed="20"/>
      <name val="MS UI Gothic"/>
      <family val="3"/>
      <charset val="128"/>
    </font>
    <font>
      <b/>
      <sz val="18"/>
      <color indexed="56"/>
      <name val="宋体"/>
    </font>
    <font>
      <b/>
      <sz val="15"/>
      <color indexed="56"/>
      <name val="宋体"/>
    </font>
    <font>
      <b/>
      <sz val="13"/>
      <color indexed="56"/>
      <name val="宋体"/>
    </font>
    <font>
      <b/>
      <sz val="11"/>
      <color indexed="56"/>
      <name val="宋体"/>
    </font>
    <font>
      <b/>
      <sz val="11"/>
      <color indexed="9"/>
      <name val="宋体"/>
    </font>
    <font>
      <b/>
      <sz val="11"/>
      <color indexed="8"/>
      <name val="宋体"/>
    </font>
    <font>
      <sz val="10"/>
      <color indexed="17"/>
      <name val="MS UI Gothic"/>
      <family val="3"/>
      <charset val="128"/>
    </font>
    <font>
      <i/>
      <sz val="11"/>
      <color indexed="23"/>
      <name val="宋体"/>
    </font>
    <font>
      <b/>
      <sz val="10"/>
      <color indexed="52"/>
      <name val="MS UI Gothic"/>
      <family val="3"/>
      <charset val="128"/>
    </font>
    <font>
      <sz val="11"/>
      <color indexed="10"/>
      <name val="宋体"/>
    </font>
    <font>
      <b/>
      <sz val="11"/>
      <color indexed="52"/>
      <name val="宋体"/>
    </font>
    <font>
      <sz val="11"/>
      <color indexed="62"/>
      <name val="宋体"/>
    </font>
    <font>
      <b/>
      <sz val="11"/>
      <color indexed="63"/>
      <name val="宋体"/>
    </font>
    <font>
      <sz val="11"/>
      <color indexed="60"/>
      <name val="宋体"/>
    </font>
    <font>
      <sz val="11"/>
      <color indexed="52"/>
      <name val="宋体"/>
    </font>
    <font>
      <b/>
      <sz val="10"/>
      <color indexed="8"/>
      <name val="MS UI Gothic"/>
      <family val="3"/>
      <charset val="128"/>
    </font>
    <font>
      <b/>
      <sz val="9"/>
      <color theme="1"/>
      <name val="Calibri"/>
      <family val="2"/>
      <scheme val="minor"/>
    </font>
    <font>
      <u/>
      <sz val="9"/>
      <name val="Arial"/>
      <family val="2"/>
    </font>
    <font>
      <sz val="12"/>
      <name val="Arial"/>
      <family val="2"/>
    </font>
    <font>
      <sz val="12"/>
      <color indexed="8"/>
      <name val="Arial"/>
      <family val="2"/>
    </font>
    <font>
      <sz val="9"/>
      <color theme="1"/>
      <name val="Calibri"/>
      <family val="2"/>
    </font>
    <font>
      <b/>
      <u/>
      <sz val="9"/>
      <name val="Arial"/>
      <family val="2"/>
    </font>
    <font>
      <sz val="12"/>
      <color indexed="9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sz val="8"/>
      <color indexed="8"/>
      <name val="Arial"/>
      <family val="2"/>
    </font>
    <font>
      <b/>
      <sz val="9"/>
      <name val="Arial"/>
      <family val="2"/>
    </font>
    <font>
      <sz val="11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10"/>
      </patternFill>
    </fill>
    <fill>
      <patternFill patternType="solid">
        <fgColor indexed="43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5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8">
    <xf numFmtId="0" fontId="0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10" fillId="6" borderId="0" applyNumberFormat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4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9" fontId="13" fillId="0" borderId="0" applyFont="0" applyFill="0" applyBorder="0" applyAlignment="0" applyProtection="0"/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3" fillId="0" borderId="0"/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43" fontId="4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1" fillId="0" borderId="0"/>
    <xf numFmtId="0" fontId="8" fillId="0" borderId="0"/>
    <xf numFmtId="0" fontId="32" fillId="0" borderId="0"/>
    <xf numFmtId="0" fontId="32" fillId="0" borderId="0"/>
    <xf numFmtId="0" fontId="33" fillId="0" borderId="0"/>
    <xf numFmtId="0" fontId="34" fillId="0" borderId="0">
      <alignment vertical="center"/>
    </xf>
    <xf numFmtId="0" fontId="35" fillId="0" borderId="0">
      <alignment vertical="center"/>
    </xf>
    <xf numFmtId="0" fontId="4" fillId="0" borderId="0"/>
    <xf numFmtId="0" fontId="3" fillId="0" borderId="0"/>
    <xf numFmtId="9" fontId="3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2" fillId="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20" fillId="8" borderId="10" applyNumberFormat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9" fontId="4" fillId="0" borderId="0" applyFont="0" applyFill="0" applyBorder="0" applyAlignment="0" applyProtection="0"/>
    <xf numFmtId="0" fontId="4" fillId="26" borderId="11" applyNumberFormat="0" applyFon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37" fillId="27" borderId="12" applyNumberFormat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9" fillId="6" borderId="0" applyNumberFormat="0" applyBorder="0" applyAlignment="0" applyProtection="0">
      <alignment vertical="center"/>
    </xf>
    <xf numFmtId="0" fontId="4" fillId="0" borderId="0"/>
    <xf numFmtId="0" fontId="4" fillId="0" borderId="0"/>
    <xf numFmtId="0" fontId="30" fillId="9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6" applyNumberFormat="0" applyFill="0" applyAlignment="0" applyProtection="0">
      <alignment vertical="center"/>
    </xf>
    <xf numFmtId="0" fontId="43" fillId="0" borderId="8" applyNumberFormat="0" applyFill="0" applyAlignment="0" applyProtection="0">
      <alignment vertical="center"/>
    </xf>
    <xf numFmtId="0" fontId="44" fillId="0" borderId="9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8" borderId="10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4" fillId="0" borderId="0"/>
    <xf numFmtId="0" fontId="4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46" fillId="0" borderId="13" applyNumberFormat="0" applyFill="0" applyAlignment="0" applyProtection="0">
      <alignment vertical="center"/>
    </xf>
    <xf numFmtId="0" fontId="4" fillId="26" borderId="11" applyNumberFormat="0" applyFont="0" applyAlignment="0" applyProtection="0">
      <alignment vertical="center"/>
    </xf>
    <xf numFmtId="9" fontId="4" fillId="0" borderId="0" applyFont="0" applyFill="0" applyBorder="0" applyAlignment="0" applyProtection="0"/>
    <xf numFmtId="0" fontId="47" fillId="1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7" borderId="5" applyNumberFormat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27" borderId="5" applyNumberFormat="0" applyAlignment="0" applyProtection="0">
      <alignment vertical="center"/>
    </xf>
    <xf numFmtId="0" fontId="52" fillId="7" borderId="5" applyNumberFormat="0" applyAlignment="0" applyProtection="0">
      <alignment vertical="center"/>
    </xf>
    <xf numFmtId="0" fontId="53" fillId="27" borderId="12" applyNumberFormat="0" applyAlignment="0" applyProtection="0">
      <alignment vertical="center"/>
    </xf>
    <xf numFmtId="0" fontId="54" fillId="15" borderId="0" applyNumberFormat="0" applyBorder="0" applyAlignment="0" applyProtection="0">
      <alignment vertical="center"/>
    </xf>
    <xf numFmtId="0" fontId="55" fillId="0" borderId="7" applyNumberFormat="0" applyFill="0" applyAlignment="0" applyProtection="0">
      <alignment vertical="center"/>
    </xf>
    <xf numFmtId="0" fontId="56" fillId="0" borderId="13" applyNumberFormat="0" applyFill="0" applyAlignment="0" applyProtection="0">
      <alignment vertical="center"/>
    </xf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64" fillId="0" borderId="0" applyFont="0" applyFill="0" applyBorder="0" applyAlignment="0" applyProtection="0"/>
    <xf numFmtId="0" fontId="4" fillId="0" borderId="0"/>
  </cellStyleXfs>
  <cellXfs count="178">
    <xf numFmtId="0" fontId="0" fillId="0" borderId="0" xfId="0"/>
    <xf numFmtId="0" fontId="7" fillId="0" borderId="0" xfId="0" applyFont="1" applyAlignment="1">
      <alignment vertical="center"/>
    </xf>
    <xf numFmtId="165" fontId="5" fillId="0" borderId="1" xfId="1" applyNumberFormat="1" applyFont="1" applyBorder="1" applyAlignment="1" applyProtection="1">
      <alignment horizontal="center" vertical="center" wrapText="1"/>
      <protection locked="0" hidden="1"/>
    </xf>
    <xf numFmtId="0" fontId="5" fillId="0" borderId="1" xfId="1" applyFont="1" applyBorder="1" applyAlignment="1" applyProtection="1">
      <alignment horizontal="center" vertical="center" wrapText="1"/>
      <protection locked="0" hidden="1"/>
    </xf>
    <xf numFmtId="0" fontId="7" fillId="4" borderId="1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7" fillId="0" borderId="0" xfId="0" applyFont="1"/>
    <xf numFmtId="164" fontId="5" fillId="0" borderId="4" xfId="1" applyNumberFormat="1" applyFont="1" applyBorder="1" applyAlignment="1" applyProtection="1">
      <alignment horizontal="center" vertical="center" wrapText="1"/>
      <protection locked="0" hidden="1"/>
    </xf>
    <xf numFmtId="0" fontId="9" fillId="5" borderId="19" xfId="1" applyFont="1" applyFill="1" applyBorder="1" applyAlignment="1" applyProtection="1">
      <alignment horizontal="center" vertical="center" wrapText="1"/>
      <protection hidden="1"/>
    </xf>
    <xf numFmtId="10" fontId="9" fillId="5" borderId="19" xfId="1" applyNumberFormat="1" applyFont="1" applyFill="1" applyBorder="1" applyAlignment="1" applyProtection="1">
      <alignment horizontal="center" vertical="center" wrapText="1"/>
      <protection hidden="1"/>
    </xf>
    <xf numFmtId="166" fontId="9" fillId="5" borderId="19" xfId="1" applyNumberFormat="1" applyFont="1" applyFill="1" applyBorder="1" applyAlignment="1" applyProtection="1">
      <alignment horizontal="center" vertical="center" wrapText="1"/>
      <protection hidden="1"/>
    </xf>
    <xf numFmtId="0" fontId="5" fillId="0" borderId="1" xfId="1" quotePrefix="1" applyFont="1" applyBorder="1" applyAlignment="1" applyProtection="1">
      <alignment horizontal="center" vertical="center" wrapText="1"/>
      <protection locked="0" hidden="1"/>
    </xf>
    <xf numFmtId="0" fontId="5" fillId="3" borderId="1" xfId="1" applyFont="1" applyFill="1" applyBorder="1" applyAlignment="1" applyProtection="1">
      <alignment horizontal="center" vertical="center" wrapText="1"/>
      <protection locked="0" hidden="1"/>
    </xf>
    <xf numFmtId="49" fontId="5" fillId="0" borderId="1" xfId="1" applyNumberFormat="1" applyFont="1" applyBorder="1" applyAlignment="1" applyProtection="1">
      <alignment horizontal="center" vertical="center" wrapText="1"/>
      <protection locked="0" hidden="1"/>
    </xf>
    <xf numFmtId="3" fontId="5" fillId="0" borderId="1" xfId="1" applyNumberFormat="1" applyFont="1" applyBorder="1" applyAlignment="1" applyProtection="1">
      <alignment horizontal="center" vertical="center" wrapText="1"/>
      <protection locked="0" hidden="1"/>
    </xf>
    <xf numFmtId="166" fontId="5" fillId="0" borderId="1" xfId="1" applyNumberFormat="1" applyFont="1" applyBorder="1" applyAlignment="1" applyProtection="1">
      <alignment horizontal="center" vertical="center" wrapText="1"/>
      <protection hidden="1"/>
    </xf>
    <xf numFmtId="10" fontId="5" fillId="0" borderId="1" xfId="1" applyNumberFormat="1" applyFont="1" applyBorder="1" applyAlignment="1" applyProtection="1">
      <alignment horizontal="center" vertical="center" wrapText="1"/>
      <protection hidden="1"/>
    </xf>
    <xf numFmtId="0" fontId="57" fillId="33" borderId="21" xfId="123" applyFont="1" applyFill="1" applyBorder="1" applyAlignment="1">
      <alignment horizontal="center" vertical="center"/>
    </xf>
    <xf numFmtId="0" fontId="57" fillId="33" borderId="22" xfId="123" applyFont="1" applyFill="1" applyBorder="1" applyAlignment="1">
      <alignment horizontal="center" vertical="center"/>
    </xf>
    <xf numFmtId="0" fontId="57" fillId="28" borderId="1" xfId="123" applyFont="1" applyFill="1" applyBorder="1" applyAlignment="1">
      <alignment horizontal="center" vertical="center" wrapText="1"/>
    </xf>
    <xf numFmtId="0" fontId="57" fillId="28" borderId="1" xfId="123" applyFont="1" applyFill="1" applyBorder="1" applyAlignment="1">
      <alignment horizontal="center" vertical="center"/>
    </xf>
    <xf numFmtId="10" fontId="57" fillId="28" borderId="24" xfId="123" applyNumberFormat="1" applyFont="1" applyFill="1" applyBorder="1" applyAlignment="1">
      <alignment horizontal="center" vertical="center"/>
    </xf>
    <xf numFmtId="0" fontId="57" fillId="29" borderId="1" xfId="123" applyFont="1" applyFill="1" applyBorder="1" applyAlignment="1">
      <alignment horizontal="center" vertical="center" wrapText="1"/>
    </xf>
    <xf numFmtId="0" fontId="57" fillId="29" borderId="1" xfId="123" applyFont="1" applyFill="1" applyBorder="1" applyAlignment="1">
      <alignment horizontal="center" vertical="center"/>
    </xf>
    <xf numFmtId="10" fontId="57" fillId="29" borderId="24" xfId="123" applyNumberFormat="1" applyFont="1" applyFill="1" applyBorder="1" applyAlignment="1">
      <alignment horizontal="center" vertical="center"/>
    </xf>
    <xf numFmtId="0" fontId="57" fillId="30" borderId="1" xfId="123" applyFont="1" applyFill="1" applyBorder="1" applyAlignment="1">
      <alignment horizontal="center" vertical="center" wrapText="1"/>
    </xf>
    <xf numFmtId="0" fontId="57" fillId="30" borderId="1" xfId="123" applyFont="1" applyFill="1" applyBorder="1" applyAlignment="1">
      <alignment horizontal="center" vertical="center"/>
    </xf>
    <xf numFmtId="10" fontId="57" fillId="30" borderId="24" xfId="123" applyNumberFormat="1" applyFont="1" applyFill="1" applyBorder="1" applyAlignment="1">
      <alignment horizontal="center" vertical="center"/>
    </xf>
    <xf numFmtId="0" fontId="57" fillId="31" borderId="1" xfId="123" applyFont="1" applyFill="1" applyBorder="1" applyAlignment="1">
      <alignment horizontal="center" vertical="center" wrapText="1"/>
    </xf>
    <xf numFmtId="0" fontId="57" fillId="31" borderId="1" xfId="123" applyFont="1" applyFill="1" applyBorder="1" applyAlignment="1">
      <alignment horizontal="center" vertical="center"/>
    </xf>
    <xf numFmtId="10" fontId="57" fillId="31" borderId="24" xfId="123" applyNumberFormat="1" applyFont="1" applyFill="1" applyBorder="1" applyAlignment="1">
      <alignment horizontal="center" vertical="center"/>
    </xf>
    <xf numFmtId="0" fontId="57" fillId="32" borderId="25" xfId="123" applyFont="1" applyFill="1" applyBorder="1" applyAlignment="1">
      <alignment horizontal="center" vertical="center" wrapText="1"/>
    </xf>
    <xf numFmtId="0" fontId="57" fillId="32" borderId="25" xfId="123" applyFont="1" applyFill="1" applyBorder="1" applyAlignment="1">
      <alignment horizontal="center" vertical="center"/>
    </xf>
    <xf numFmtId="10" fontId="57" fillId="32" borderId="26" xfId="123" applyNumberFormat="1" applyFont="1" applyFill="1" applyBorder="1" applyAlignment="1">
      <alignment horizontal="center" vertical="center"/>
    </xf>
    <xf numFmtId="18" fontId="7" fillId="0" borderId="1" xfId="0" applyNumberFormat="1" applyFont="1" applyBorder="1" applyAlignment="1">
      <alignment horizontal="center" vertical="center" wrapText="1"/>
    </xf>
    <xf numFmtId="0" fontId="5" fillId="3" borderId="27" xfId="1" applyFont="1" applyFill="1" applyBorder="1" applyAlignment="1" applyProtection="1">
      <alignment horizontal="center" vertical="center" wrapText="1"/>
      <protection locked="0" hidden="1"/>
    </xf>
    <xf numFmtId="165" fontId="5" fillId="0" borderId="23" xfId="1" applyNumberFormat="1" applyFont="1" applyBorder="1" applyAlignment="1" applyProtection="1">
      <alignment horizontal="center" vertical="center" wrapText="1"/>
      <protection locked="0" hidden="1"/>
    </xf>
    <xf numFmtId="18" fontId="7" fillId="0" borderId="23" xfId="0" applyNumberFormat="1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3" fontId="9" fillId="5" borderId="18" xfId="1" applyNumberFormat="1" applyFont="1" applyFill="1" applyBorder="1" applyAlignment="1" applyProtection="1">
      <alignment horizontal="center" vertical="center" wrapText="1" shrinkToFit="1"/>
      <protection hidden="1"/>
    </xf>
    <xf numFmtId="0" fontId="5" fillId="34" borderId="1" xfId="1" applyFont="1" applyFill="1" applyBorder="1" applyAlignment="1" applyProtection="1">
      <alignment horizontal="center" vertical="center" wrapText="1"/>
      <protection hidden="1"/>
    </xf>
    <xf numFmtId="0" fontId="7" fillId="34" borderId="0" xfId="0" applyFont="1" applyFill="1" applyAlignment="1">
      <alignment horizontal="center" wrapText="1"/>
    </xf>
    <xf numFmtId="167" fontId="5" fillId="0" borderId="1" xfId="1" applyNumberFormat="1" applyFont="1" applyBorder="1" applyAlignment="1" applyProtection="1">
      <alignment horizontal="center" vertical="center" wrapText="1"/>
      <protection locked="0" hidden="1"/>
    </xf>
    <xf numFmtId="0" fontId="7" fillId="4" borderId="0" xfId="0" applyFont="1" applyFill="1" applyAlignment="1">
      <alignment horizontal="center" wrapText="1"/>
    </xf>
    <xf numFmtId="10" fontId="9" fillId="5" borderId="3" xfId="1" applyNumberFormat="1" applyFont="1" applyFill="1" applyBorder="1" applyAlignment="1" applyProtection="1">
      <alignment horizontal="center" vertical="center" wrapText="1"/>
      <protection hidden="1"/>
    </xf>
    <xf numFmtId="0" fontId="9" fillId="5" borderId="14" xfId="1" applyFont="1" applyFill="1" applyBorder="1" applyAlignment="1" applyProtection="1">
      <alignment vertical="center" wrapText="1" shrinkToFit="1"/>
      <protection hidden="1"/>
    </xf>
    <xf numFmtId="0" fontId="9" fillId="5" borderId="17" xfId="1" applyFont="1" applyFill="1" applyBorder="1" applyAlignment="1" applyProtection="1">
      <alignment vertical="center" wrapText="1" shrinkToFit="1"/>
      <protection hidden="1"/>
    </xf>
    <xf numFmtId="0" fontId="9" fillId="5" borderId="29" xfId="1" applyFont="1" applyFill="1" applyBorder="1" applyAlignment="1" applyProtection="1">
      <alignment vertical="center" wrapText="1" shrinkToFit="1"/>
      <protection hidden="1"/>
    </xf>
    <xf numFmtId="164" fontId="5" fillId="0" borderId="1" xfId="1" applyNumberFormat="1" applyFont="1" applyBorder="1" applyAlignment="1" applyProtection="1">
      <alignment horizontal="center" vertical="center" wrapText="1"/>
      <protection locked="0" hidden="1"/>
    </xf>
    <xf numFmtId="20" fontId="5" fillId="0" borderId="4" xfId="1" applyNumberFormat="1" applyFont="1" applyBorder="1" applyAlignment="1" applyProtection="1">
      <alignment horizontal="center" vertical="center" wrapText="1"/>
      <protection locked="0" hidden="1"/>
    </xf>
    <xf numFmtId="0" fontId="61" fillId="4" borderId="4" xfId="0" applyFont="1" applyFill="1" applyBorder="1" applyAlignment="1">
      <alignment horizontal="center" vertical="center"/>
    </xf>
    <xf numFmtId="16" fontId="59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63" fillId="5" borderId="19" xfId="1" applyFont="1" applyFill="1" applyBorder="1" applyAlignment="1" applyProtection="1">
      <alignment horizontal="center" vertical="center" wrapText="1"/>
      <protection hidden="1"/>
    </xf>
    <xf numFmtId="166" fontId="63" fillId="5" borderId="19" xfId="1" applyNumberFormat="1" applyFont="1" applyFill="1" applyBorder="1" applyAlignment="1" applyProtection="1">
      <alignment horizontal="center" vertical="center" wrapText="1"/>
      <protection hidden="1"/>
    </xf>
    <xf numFmtId="10" fontId="63" fillId="5" borderId="19" xfId="1" applyNumberFormat="1" applyFont="1" applyFill="1" applyBorder="1" applyAlignment="1" applyProtection="1">
      <alignment horizontal="center" vertical="center" wrapText="1"/>
      <protection hidden="1"/>
    </xf>
    <xf numFmtId="0" fontId="63" fillId="5" borderId="20" xfId="1" applyFont="1" applyFill="1" applyBorder="1" applyAlignment="1" applyProtection="1">
      <alignment horizontal="center" vertical="center" wrapText="1"/>
      <protection hidden="1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wrapText="1"/>
    </xf>
    <xf numFmtId="16" fontId="5" fillId="3" borderId="27" xfId="1" applyNumberFormat="1" applyFont="1" applyFill="1" applyBorder="1" applyAlignment="1" applyProtection="1">
      <alignment horizontal="center" vertical="center" wrapText="1"/>
      <protection locked="0" hidden="1"/>
    </xf>
    <xf numFmtId="16" fontId="5" fillId="2" borderId="3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5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65" fillId="0" borderId="42" xfId="120" applyFont="1" applyBorder="1" applyAlignment="1">
      <alignment vertical="center"/>
    </xf>
    <xf numFmtId="0" fontId="65" fillId="0" borderId="39" xfId="120" applyFont="1" applyBorder="1" applyAlignment="1">
      <alignment vertical="center"/>
    </xf>
    <xf numFmtId="0" fontId="65" fillId="0" borderId="43" xfId="120" applyFont="1" applyBorder="1" applyAlignment="1">
      <alignment vertical="center"/>
    </xf>
    <xf numFmtId="0" fontId="65" fillId="33" borderId="44" xfId="120" applyFont="1" applyFill="1" applyBorder="1" applyAlignment="1">
      <alignment horizontal="center" vertical="center"/>
    </xf>
    <xf numFmtId="0" fontId="65" fillId="0" borderId="45" xfId="120" applyFont="1" applyBorder="1" applyAlignment="1">
      <alignment vertical="center"/>
    </xf>
    <xf numFmtId="0" fontId="65" fillId="32" borderId="42" xfId="120" applyFont="1" applyFill="1" applyBorder="1" applyAlignment="1">
      <alignment vertical="center"/>
    </xf>
    <xf numFmtId="0" fontId="65" fillId="32" borderId="39" xfId="120" applyFont="1" applyFill="1" applyBorder="1" applyAlignment="1">
      <alignment vertical="center"/>
    </xf>
    <xf numFmtId="10" fontId="0" fillId="32" borderId="43" xfId="0" applyNumberFormat="1" applyFill="1" applyBorder="1"/>
    <xf numFmtId="10" fontId="0" fillId="32" borderId="0" xfId="0" applyNumberFormat="1" applyFill="1"/>
    <xf numFmtId="0" fontId="0" fillId="0" borderId="1" xfId="0" applyBorder="1"/>
    <xf numFmtId="10" fontId="0" fillId="0" borderId="1" xfId="0" applyNumberFormat="1" applyBorder="1"/>
    <xf numFmtId="0" fontId="0" fillId="32" borderId="21" xfId="0" applyFill="1" applyBorder="1"/>
    <xf numFmtId="10" fontId="0" fillId="32" borderId="22" xfId="0" applyNumberFormat="1" applyFill="1" applyBorder="1"/>
    <xf numFmtId="0" fontId="0" fillId="4" borderId="0" xfId="0" applyFill="1"/>
    <xf numFmtId="10" fontId="0" fillId="4" borderId="0" xfId="196" applyNumberFormat="1" applyFont="1" applyFill="1"/>
    <xf numFmtId="0" fontId="0" fillId="32" borderId="1" xfId="0" applyFill="1" applyBorder="1"/>
    <xf numFmtId="10" fontId="0" fillId="32" borderId="24" xfId="0" applyNumberFormat="1" applyFill="1" applyBorder="1"/>
    <xf numFmtId="9" fontId="0" fillId="4" borderId="0" xfId="0" applyNumberFormat="1" applyFill="1"/>
    <xf numFmtId="0" fontId="0" fillId="32" borderId="25" xfId="0" applyFill="1" applyBorder="1"/>
    <xf numFmtId="10" fontId="0" fillId="32" borderId="26" xfId="0" applyNumberFormat="1" applyFill="1" applyBorder="1"/>
    <xf numFmtId="10" fontId="0" fillId="0" borderId="0" xfId="0" applyNumberFormat="1"/>
    <xf numFmtId="0" fontId="0" fillId="0" borderId="46" xfId="0" applyBorder="1"/>
    <xf numFmtId="0" fontId="1" fillId="33" borderId="47" xfId="120" applyFont="1" applyFill="1" applyBorder="1" applyAlignment="1">
      <alignment horizontal="center" vertical="center"/>
    </xf>
    <xf numFmtId="0" fontId="1" fillId="33" borderId="48" xfId="120" applyFont="1" applyFill="1" applyBorder="1" applyAlignment="1">
      <alignment horizontal="center" vertical="center"/>
    </xf>
    <xf numFmtId="0" fontId="1" fillId="0" borderId="50" xfId="120" applyFont="1" applyBorder="1" applyAlignment="1">
      <alignment vertical="center"/>
    </xf>
    <xf numFmtId="0" fontId="1" fillId="0" borderId="51" xfId="120" applyFont="1" applyBorder="1" applyAlignment="1">
      <alignment vertical="center"/>
    </xf>
    <xf numFmtId="0" fontId="1" fillId="0" borderId="47" xfId="120" applyFont="1" applyBorder="1" applyAlignment="1">
      <alignment vertical="center"/>
    </xf>
    <xf numFmtId="0" fontId="1" fillId="0" borderId="48" xfId="120" applyFont="1" applyBorder="1" applyAlignment="1">
      <alignment vertical="center"/>
    </xf>
    <xf numFmtId="0" fontId="1" fillId="0" borderId="49" xfId="120" applyFont="1" applyBorder="1" applyAlignment="1">
      <alignment vertical="center"/>
    </xf>
    <xf numFmtId="0" fontId="66" fillId="2" borderId="35" xfId="1" applyFont="1" applyFill="1" applyBorder="1" applyAlignment="1" applyProtection="1">
      <alignment horizontal="center" textRotation="90" wrapText="1"/>
      <protection hidden="1"/>
    </xf>
    <xf numFmtId="0" fontId="66" fillId="2" borderId="36" xfId="1" applyFont="1" applyFill="1" applyBorder="1" applyAlignment="1" applyProtection="1">
      <alignment horizontal="center" textRotation="90" wrapText="1"/>
      <protection hidden="1"/>
    </xf>
    <xf numFmtId="0" fontId="66" fillId="2" borderId="40" xfId="1" applyFont="1" applyFill="1" applyBorder="1" applyAlignment="1" applyProtection="1">
      <alignment horizontal="center" textRotation="90" wrapText="1"/>
      <protection hidden="1"/>
    </xf>
    <xf numFmtId="0" fontId="66" fillId="2" borderId="37" xfId="1" applyFont="1" applyFill="1" applyBorder="1" applyAlignment="1" applyProtection="1">
      <alignment horizontal="center" textRotation="90" wrapText="1"/>
      <protection hidden="1"/>
    </xf>
    <xf numFmtId="0" fontId="66" fillId="2" borderId="52" xfId="1" applyFont="1" applyFill="1" applyBorder="1" applyAlignment="1" applyProtection="1">
      <alignment horizontal="center" textRotation="90" wrapText="1"/>
      <protection hidden="1"/>
    </xf>
    <xf numFmtId="0" fontId="66" fillId="2" borderId="3" xfId="1" applyFont="1" applyFill="1" applyBorder="1" applyAlignment="1" applyProtection="1">
      <alignment horizontal="center" textRotation="90" wrapText="1"/>
      <protection hidden="1"/>
    </xf>
    <xf numFmtId="0" fontId="67" fillId="2" borderId="4" xfId="0" applyFont="1" applyFill="1" applyBorder="1" applyAlignment="1">
      <alignment textRotation="90" wrapText="1"/>
    </xf>
    <xf numFmtId="0" fontId="67" fillId="2" borderId="53" xfId="0" applyFont="1" applyFill="1" applyBorder="1" applyAlignment="1">
      <alignment textRotation="90" wrapText="1"/>
    </xf>
    <xf numFmtId="0" fontId="67" fillId="2" borderId="38" xfId="0" applyFont="1" applyFill="1" applyBorder="1" applyAlignment="1">
      <alignment textRotation="90" wrapText="1"/>
    </xf>
    <xf numFmtId="0" fontId="67" fillId="2" borderId="19" xfId="0" applyFont="1" applyFill="1" applyBorder="1" applyAlignment="1">
      <alignment textRotation="90" wrapText="1"/>
    </xf>
    <xf numFmtId="0" fontId="67" fillId="2" borderId="20" xfId="0" applyFont="1" applyFill="1" applyBorder="1" applyAlignment="1">
      <alignment textRotation="90" wrapText="1"/>
    </xf>
    <xf numFmtId="0" fontId="67" fillId="2" borderId="18" xfId="0" applyFont="1" applyFill="1" applyBorder="1" applyAlignment="1">
      <alignment textRotation="90" wrapText="1"/>
    </xf>
    <xf numFmtId="0" fontId="1" fillId="0" borderId="34" xfId="120" applyFont="1" applyBorder="1" applyAlignment="1">
      <alignment vertical="center"/>
    </xf>
    <xf numFmtId="0" fontId="1" fillId="0" borderId="32" xfId="120" applyFont="1" applyBorder="1" applyAlignment="1">
      <alignment vertical="center"/>
    </xf>
    <xf numFmtId="10" fontId="1" fillId="0" borderId="34" xfId="120" applyNumberFormat="1" applyFont="1" applyBorder="1" applyAlignment="1">
      <alignment vertical="center"/>
    </xf>
    <xf numFmtId="10" fontId="1" fillId="0" borderId="32" xfId="120" applyNumberFormat="1" applyFont="1" applyBorder="1" applyAlignment="1">
      <alignment vertical="center"/>
    </xf>
    <xf numFmtId="10" fontId="1" fillId="0" borderId="33" xfId="120" applyNumberFormat="1" applyFont="1" applyBorder="1" applyAlignment="1">
      <alignment vertical="center"/>
    </xf>
    <xf numFmtId="0" fontId="0" fillId="32" borderId="30" xfId="0" applyFill="1" applyBorder="1"/>
    <xf numFmtId="0" fontId="5" fillId="3" borderId="4" xfId="1" applyFont="1" applyFill="1" applyBorder="1" applyAlignment="1" applyProtection="1">
      <alignment horizontal="center" vertical="center" wrapText="1"/>
      <protection locked="0" hidden="1"/>
    </xf>
    <xf numFmtId="18" fontId="5" fillId="4" borderId="4" xfId="1" applyNumberFormat="1" applyFont="1" applyFill="1" applyBorder="1" applyAlignment="1" applyProtection="1">
      <alignment horizontal="center" vertical="center"/>
      <protection locked="0" hidden="1"/>
    </xf>
    <xf numFmtId="49" fontId="5" fillId="35" borderId="4" xfId="1" applyNumberFormat="1" applyFont="1" applyFill="1" applyBorder="1" applyAlignment="1" applyProtection="1">
      <alignment horizontal="center" vertical="center"/>
      <protection locked="0" hidden="1"/>
    </xf>
    <xf numFmtId="0" fontId="5" fillId="35" borderId="4" xfId="1" applyFont="1" applyFill="1" applyBorder="1" applyAlignment="1" applyProtection="1">
      <alignment horizontal="center" vertical="center"/>
      <protection locked="0" hidden="1"/>
    </xf>
    <xf numFmtId="166" fontId="5" fillId="0" borderId="4" xfId="1" applyNumberFormat="1" applyFont="1" applyBorder="1" applyAlignment="1" applyProtection="1">
      <alignment horizontal="center" vertical="center" wrapText="1"/>
      <protection hidden="1"/>
    </xf>
    <xf numFmtId="10" fontId="5" fillId="0" borderId="4" xfId="1" applyNumberFormat="1" applyFont="1" applyBorder="1" applyAlignment="1" applyProtection="1">
      <alignment horizontal="center" vertical="center" wrapText="1"/>
      <protection hidden="1"/>
    </xf>
    <xf numFmtId="0" fontId="5" fillId="36" borderId="4" xfId="1" applyFont="1" applyFill="1" applyBorder="1" applyAlignment="1" applyProtection="1">
      <alignment horizontal="center" vertical="center" wrapText="1"/>
      <protection hidden="1"/>
    </xf>
    <xf numFmtId="0" fontId="7" fillId="4" borderId="4" xfId="0" applyFont="1" applyFill="1" applyBorder="1" applyAlignment="1">
      <alignment horizontal="center" vertical="center" wrapText="1"/>
    </xf>
    <xf numFmtId="16" fontId="5" fillId="2" borderId="39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5" fillId="2" borderId="3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0" fontId="58" fillId="0" borderId="41" xfId="2" applyNumberFormat="1" applyFont="1" applyFill="1" applyBorder="1" applyAlignment="1" applyProtection="1">
      <alignment horizontal="center" wrapText="1"/>
      <protection locked="0" hidden="1"/>
    </xf>
    <xf numFmtId="10" fontId="58" fillId="0" borderId="28" xfId="2" applyNumberFormat="1" applyFont="1" applyFill="1" applyBorder="1" applyAlignment="1" applyProtection="1">
      <alignment horizontal="center" wrapText="1"/>
      <protection locked="0" hidden="1"/>
    </xf>
    <xf numFmtId="10" fontId="5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5" fillId="0" borderId="36" xfId="1" applyNumberFormat="1" applyFont="1" applyBorder="1" applyAlignment="1" applyProtection="1">
      <alignment horizontal="center" vertical="center" textRotation="90" wrapText="1"/>
      <protection hidden="1"/>
    </xf>
    <xf numFmtId="10" fontId="5" fillId="34" borderId="15" xfId="1" applyNumberFormat="1" applyFont="1" applyFill="1" applyBorder="1" applyAlignment="1" applyProtection="1">
      <alignment horizontal="center" vertical="center" textRotation="90" wrapText="1"/>
      <protection hidden="1"/>
    </xf>
    <xf numFmtId="10" fontId="5" fillId="34" borderId="40" xfId="1" applyNumberFormat="1" applyFont="1" applyFill="1" applyBorder="1" applyAlignment="1" applyProtection="1">
      <alignment horizontal="center" vertical="center" textRotation="90" wrapText="1"/>
      <protection hidden="1"/>
    </xf>
    <xf numFmtId="0" fontId="5" fillId="3" borderId="39" xfId="1" applyFont="1" applyFill="1" applyBorder="1" applyAlignment="1" applyProtection="1">
      <alignment horizontal="center" vertical="center" textRotation="90" wrapText="1"/>
      <protection hidden="1"/>
    </xf>
    <xf numFmtId="0" fontId="5" fillId="3" borderId="36" xfId="1" applyFont="1" applyFill="1" applyBorder="1" applyAlignment="1" applyProtection="1">
      <alignment horizontal="center" vertical="center" textRotation="90" wrapText="1"/>
      <protection hidden="1"/>
    </xf>
    <xf numFmtId="0" fontId="5" fillId="0" borderId="39" xfId="1" applyFont="1" applyBorder="1" applyAlignment="1" applyProtection="1">
      <alignment horizontal="center" vertical="center" textRotation="90" wrapText="1"/>
      <protection hidden="1"/>
    </xf>
    <xf numFmtId="0" fontId="5" fillId="0" borderId="36" xfId="1" applyFont="1" applyBorder="1" applyAlignment="1" applyProtection="1">
      <alignment horizontal="center" vertical="center" textRotation="90" wrapText="1"/>
      <protection hidden="1"/>
    </xf>
    <xf numFmtId="0" fontId="8" fillId="0" borderId="14" xfId="1" applyFont="1" applyBorder="1" applyAlignment="1" applyProtection="1">
      <alignment horizontal="center" vertical="center" wrapText="1"/>
      <protection hidden="1"/>
    </xf>
    <xf numFmtId="0" fontId="8" fillId="0" borderId="17" xfId="1" applyFont="1" applyBorder="1" applyAlignment="1" applyProtection="1">
      <alignment horizontal="center" vertical="center" wrapText="1"/>
      <protection hidden="1"/>
    </xf>
    <xf numFmtId="0" fontId="8" fillId="0" borderId="29" xfId="1" applyFont="1" applyBorder="1" applyAlignment="1" applyProtection="1">
      <alignment horizontal="center" vertical="center" wrapText="1"/>
      <protection hidden="1"/>
    </xf>
    <xf numFmtId="0" fontId="57" fillId="29" borderId="32" xfId="123" applyFont="1" applyFill="1" applyBorder="1" applyAlignment="1">
      <alignment horizontal="center" vertical="center"/>
    </xf>
    <xf numFmtId="0" fontId="57" fillId="29" borderId="27" xfId="123" applyFont="1" applyFill="1" applyBorder="1" applyAlignment="1">
      <alignment horizontal="center" vertical="center"/>
    </xf>
    <xf numFmtId="0" fontId="57" fillId="30" borderId="32" xfId="123" applyFont="1" applyFill="1" applyBorder="1" applyAlignment="1">
      <alignment horizontal="center" vertical="center"/>
    </xf>
    <xf numFmtId="0" fontId="57" fillId="30" borderId="27" xfId="123" applyFont="1" applyFill="1" applyBorder="1" applyAlignment="1">
      <alignment horizontal="center" vertical="center"/>
    </xf>
    <xf numFmtId="0" fontId="57" fillId="31" borderId="32" xfId="123" applyFont="1" applyFill="1" applyBorder="1" applyAlignment="1">
      <alignment horizontal="center" vertical="center"/>
    </xf>
    <xf numFmtId="0" fontId="57" fillId="31" borderId="27" xfId="123" applyFont="1" applyFill="1" applyBorder="1" applyAlignment="1">
      <alignment horizontal="center" vertical="center"/>
    </xf>
    <xf numFmtId="0" fontId="57" fillId="32" borderId="33" xfId="123" applyFont="1" applyFill="1" applyBorder="1" applyAlignment="1">
      <alignment horizontal="center" vertical="center"/>
    </xf>
    <xf numFmtId="0" fontId="57" fillId="32" borderId="31" xfId="123" applyFont="1" applyFill="1" applyBorder="1" applyAlignment="1">
      <alignment horizontal="center" vertical="center"/>
    </xf>
    <xf numFmtId="0" fontId="57" fillId="33" borderId="34" xfId="123" applyFont="1" applyFill="1" applyBorder="1" applyAlignment="1">
      <alignment horizontal="center" vertical="center" wrapText="1"/>
    </xf>
    <xf numFmtId="0" fontId="57" fillId="33" borderId="30" xfId="123" applyFont="1" applyFill="1" applyBorder="1" applyAlignment="1">
      <alignment horizontal="center" vertical="center" wrapText="1"/>
    </xf>
    <xf numFmtId="0" fontId="57" fillId="28" borderId="32" xfId="123" applyFont="1" applyFill="1" applyBorder="1" applyAlignment="1">
      <alignment horizontal="center" vertical="center" wrapText="1"/>
    </xf>
    <xf numFmtId="0" fontId="57" fillId="28" borderId="27" xfId="123" applyFont="1" applyFill="1" applyBorder="1" applyAlignment="1">
      <alignment horizontal="center" vertical="center" wrapText="1"/>
    </xf>
    <xf numFmtId="16" fontId="5" fillId="2" borderId="15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5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49" fontId="68" fillId="0" borderId="14" xfId="1" applyNumberFormat="1" applyFont="1" applyBorder="1" applyAlignment="1" applyProtection="1">
      <alignment horizontal="center" vertical="center" wrapText="1"/>
      <protection locked="0"/>
    </xf>
    <xf numFmtId="49" fontId="68" fillId="0" borderId="17" xfId="1" applyNumberFormat="1" applyFont="1" applyBorder="1" applyAlignment="1" applyProtection="1">
      <alignment horizontal="center" vertical="center" wrapText="1"/>
      <protection locked="0"/>
    </xf>
    <xf numFmtId="49" fontId="68" fillId="0" borderId="29" xfId="1" applyNumberFormat="1" applyFont="1" applyBorder="1" applyAlignment="1" applyProtection="1">
      <alignment horizontal="center" vertical="center" wrapText="1"/>
      <protection locked="0"/>
    </xf>
    <xf numFmtId="16" fontId="59" fillId="2" borderId="3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16" fontId="59" fillId="2" borderId="16" xfId="1" applyNumberFormat="1" applyFont="1" applyFill="1" applyBorder="1" applyAlignment="1" applyProtection="1">
      <alignment horizontal="center" vertical="center" textRotation="90" wrapText="1" shrinkToFit="1"/>
      <protection hidden="1"/>
    </xf>
    <xf numFmtId="0" fontId="59" fillId="0" borderId="3" xfId="1" applyFont="1" applyBorder="1" applyAlignment="1" applyProtection="1">
      <alignment horizontal="center" vertical="center" textRotation="90" wrapText="1"/>
      <protection hidden="1"/>
    </xf>
    <xf numFmtId="10" fontId="59" fillId="0" borderId="2" xfId="1" applyNumberFormat="1" applyFont="1" applyBorder="1" applyAlignment="1" applyProtection="1">
      <alignment horizontal="center" vertical="center" textRotation="90" wrapText="1"/>
      <protection hidden="1"/>
    </xf>
    <xf numFmtId="10" fontId="59" fillId="0" borderId="3" xfId="1" applyNumberFormat="1" applyFont="1" applyBorder="1" applyAlignment="1" applyProtection="1">
      <alignment horizontal="center" vertical="center" textRotation="90" wrapText="1"/>
      <protection hidden="1"/>
    </xf>
    <xf numFmtId="10" fontId="59" fillId="36" borderId="3" xfId="1" applyNumberFormat="1" applyFont="1" applyFill="1" applyBorder="1" applyAlignment="1" applyProtection="1">
      <alignment horizontal="center" vertical="center" textRotation="90" wrapText="1"/>
      <protection hidden="1"/>
    </xf>
    <xf numFmtId="0" fontId="59" fillId="3" borderId="3" xfId="1" applyFont="1" applyFill="1" applyBorder="1" applyAlignment="1" applyProtection="1">
      <alignment horizontal="center" vertical="center" textRotation="90" wrapText="1"/>
      <protection hidden="1"/>
    </xf>
    <xf numFmtId="0" fontId="9" fillId="5" borderId="14" xfId="1" applyFont="1" applyFill="1" applyBorder="1" applyAlignment="1" applyProtection="1">
      <alignment horizontal="center" vertical="center" wrapText="1" shrinkToFit="1"/>
      <protection hidden="1"/>
    </xf>
    <xf numFmtId="0" fontId="9" fillId="5" borderId="17" xfId="1" applyFont="1" applyFill="1" applyBorder="1" applyAlignment="1" applyProtection="1">
      <alignment horizontal="center" vertical="center" wrapText="1" shrinkToFit="1"/>
      <protection hidden="1"/>
    </xf>
    <xf numFmtId="0" fontId="9" fillId="5" borderId="29" xfId="1" applyFont="1" applyFill="1" applyBorder="1" applyAlignment="1" applyProtection="1">
      <alignment horizontal="center" vertical="center" wrapText="1" shrinkToFit="1"/>
      <protection hidden="1"/>
    </xf>
    <xf numFmtId="0" fontId="63" fillId="5" borderId="38" xfId="1" applyFont="1" applyFill="1" applyBorder="1" applyAlignment="1" applyProtection="1">
      <alignment vertical="center" wrapText="1" shrinkToFit="1"/>
      <protection hidden="1"/>
    </xf>
    <xf numFmtId="0" fontId="63" fillId="5" borderId="19" xfId="1" applyFont="1" applyFill="1" applyBorder="1" applyAlignment="1" applyProtection="1">
      <alignment vertical="center" wrapText="1" shrinkToFit="1"/>
      <protection hidden="1"/>
    </xf>
    <xf numFmtId="49" fontId="69" fillId="0" borderId="14" xfId="197" applyNumberFormat="1" applyFont="1" applyBorder="1" applyAlignment="1" applyProtection="1">
      <alignment horizontal="center" vertical="center" wrapText="1"/>
      <protection locked="0"/>
    </xf>
    <xf numFmtId="49" fontId="69" fillId="0" borderId="17" xfId="197" applyNumberFormat="1" applyFont="1" applyBorder="1" applyAlignment="1" applyProtection="1">
      <alignment horizontal="center" vertical="center" wrapText="1"/>
      <protection locked="0"/>
    </xf>
    <xf numFmtId="49" fontId="69" fillId="0" borderId="29" xfId="197" applyNumberFormat="1" applyFont="1" applyBorder="1" applyAlignment="1" applyProtection="1">
      <alignment horizontal="center" vertical="center" wrapText="1"/>
      <protection locked="0"/>
    </xf>
    <xf numFmtId="0" fontId="5" fillId="0" borderId="14" xfId="1" applyFont="1" applyBorder="1" applyAlignment="1" applyProtection="1">
      <alignment horizontal="center" vertical="center" wrapText="1"/>
      <protection hidden="1"/>
    </xf>
    <xf numFmtId="0" fontId="5" fillId="0" borderId="17" xfId="1" applyFont="1" applyBorder="1" applyAlignment="1" applyProtection="1">
      <alignment horizontal="center" vertical="center" wrapText="1"/>
      <protection hidden="1"/>
    </xf>
    <xf numFmtId="0" fontId="5" fillId="0" borderId="29" xfId="1" applyFont="1" applyBorder="1" applyAlignment="1" applyProtection="1">
      <alignment horizontal="center" vertical="center" wrapText="1"/>
      <protection hidden="1"/>
    </xf>
    <xf numFmtId="10" fontId="62" fillId="0" borderId="0" xfId="2" applyNumberFormat="1" applyFont="1" applyFill="1" applyBorder="1" applyAlignment="1" applyProtection="1">
      <alignment horizontal="center" vertical="center" wrapText="1"/>
      <protection locked="0" hidden="1"/>
    </xf>
    <xf numFmtId="10" fontId="59" fillId="36" borderId="15" xfId="1" applyNumberFormat="1" applyFont="1" applyFill="1" applyBorder="1" applyAlignment="1" applyProtection="1">
      <alignment horizontal="center" vertical="center" textRotation="90" wrapText="1"/>
      <protection hidden="1"/>
    </xf>
    <xf numFmtId="10" fontId="63" fillId="5" borderId="3" xfId="1" applyNumberFormat="1" applyFont="1" applyFill="1" applyBorder="1" applyAlignment="1" applyProtection="1">
      <alignment horizontal="center" vertical="center" wrapText="1"/>
      <protection hidden="1"/>
    </xf>
    <xf numFmtId="0" fontId="59" fillId="2" borderId="38" xfId="1" applyFont="1" applyFill="1" applyBorder="1" applyAlignment="1" applyProtection="1">
      <alignment horizontal="center" textRotation="90" wrapText="1"/>
      <protection hidden="1"/>
    </xf>
    <xf numFmtId="0" fontId="59" fillId="2" borderId="19" xfId="1" applyFont="1" applyFill="1" applyBorder="1" applyAlignment="1" applyProtection="1">
      <alignment horizontal="center" textRotation="90" wrapText="1"/>
      <protection hidden="1"/>
    </xf>
    <xf numFmtId="0" fontId="59" fillId="2" borderId="20" xfId="1" applyFont="1" applyFill="1" applyBorder="1" applyAlignment="1" applyProtection="1">
      <alignment horizontal="center" textRotation="90" wrapText="1"/>
      <protection hidden="1"/>
    </xf>
    <xf numFmtId="0" fontId="60" fillId="2" borderId="19" xfId="0" applyFont="1" applyFill="1" applyBorder="1" applyAlignment="1">
      <alignment horizontal="center" textRotation="90" wrapText="1"/>
    </xf>
    <xf numFmtId="0" fontId="60" fillId="2" borderId="20" xfId="0" applyFont="1" applyFill="1" applyBorder="1" applyAlignment="1">
      <alignment horizontal="center" textRotation="90" wrapText="1"/>
    </xf>
    <xf numFmtId="0" fontId="60" fillId="2" borderId="38" xfId="0" applyFont="1" applyFill="1" applyBorder="1" applyAlignment="1">
      <alignment horizontal="center" textRotation="90" wrapText="1"/>
    </xf>
  </cellXfs>
  <cellStyles count="198">
    <cellStyle name="?" xfId="3" xr:uid="{00000000-0005-0000-0000-000000000000}"/>
    <cellStyle name="??" xfId="4" xr:uid="{00000000-0005-0000-0000-000001000000}"/>
    <cellStyle name="?? 1" xfId="5" xr:uid="{00000000-0005-0000-0000-000002000000}"/>
    <cellStyle name="?? 10" xfId="6" xr:uid="{00000000-0005-0000-0000-000003000000}"/>
    <cellStyle name="?? 11" xfId="7" xr:uid="{00000000-0005-0000-0000-000004000000}"/>
    <cellStyle name="?? 12" xfId="8" xr:uid="{00000000-0005-0000-0000-000005000000}"/>
    <cellStyle name="?? 12 2" xfId="9" xr:uid="{00000000-0005-0000-0000-000006000000}"/>
    <cellStyle name="?? 2" xfId="10" xr:uid="{00000000-0005-0000-0000-000007000000}"/>
    <cellStyle name="?? 2 2" xfId="11" xr:uid="{00000000-0005-0000-0000-000008000000}"/>
    <cellStyle name="?? 3" xfId="12" xr:uid="{00000000-0005-0000-0000-000009000000}"/>
    <cellStyle name="?? 4" xfId="13" xr:uid="{00000000-0005-0000-0000-00000A000000}"/>
    <cellStyle name="?? 5" xfId="14" xr:uid="{00000000-0005-0000-0000-00000B000000}"/>
    <cellStyle name="?? 6" xfId="15" xr:uid="{00000000-0005-0000-0000-00000C000000}"/>
    <cellStyle name="?? 7" xfId="16" xr:uid="{00000000-0005-0000-0000-00000D000000}"/>
    <cellStyle name="?? 8" xfId="17" xr:uid="{00000000-0005-0000-0000-00000E000000}"/>
    <cellStyle name="?? 9" xfId="18" xr:uid="{00000000-0005-0000-0000-00000F000000}"/>
    <cellStyle name="???" xfId="19" xr:uid="{00000000-0005-0000-0000-000010000000}"/>
    <cellStyle name="??? ??" xfId="20" xr:uid="{00000000-0005-0000-0000-000011000000}"/>
    <cellStyle name="??? 1" xfId="21" xr:uid="{00000000-0005-0000-0000-000012000000}"/>
    <cellStyle name="??? 2" xfId="22" xr:uid="{00000000-0005-0000-0000-000013000000}"/>
    <cellStyle name="??? 3" xfId="23" xr:uid="{00000000-0005-0000-0000-000014000000}"/>
    <cellStyle name="??? 4" xfId="24" xr:uid="{00000000-0005-0000-0000-000015000000}"/>
    <cellStyle name="????" xfId="25" xr:uid="{00000000-0005-0000-0000-000016000000}"/>
    <cellStyle name="???? ??" xfId="26" xr:uid="{00000000-0005-0000-0000-000017000000}"/>
    <cellStyle name="?????" xfId="27" xr:uid="{00000000-0005-0000-0000-000018000000}"/>
    <cellStyle name="????? 1" xfId="28" xr:uid="{00000000-0005-0000-0000-000019000000}"/>
    <cellStyle name="????? 2" xfId="29" xr:uid="{00000000-0005-0000-0000-00001A000000}"/>
    <cellStyle name="????? 3" xfId="30" xr:uid="{00000000-0005-0000-0000-00001B000000}"/>
    <cellStyle name="????? 4" xfId="31" xr:uid="{00000000-0005-0000-0000-00001C000000}"/>
    <cellStyle name="????? 5" xfId="32" xr:uid="{00000000-0005-0000-0000-00001D000000}"/>
    <cellStyle name="????? 6" xfId="33" xr:uid="{00000000-0005-0000-0000-00001E000000}"/>
    <cellStyle name="?????? 1" xfId="34" xr:uid="{00000000-0005-0000-0000-00001F000000}"/>
    <cellStyle name="?????? 2" xfId="35" xr:uid="{00000000-0005-0000-0000-000020000000}"/>
    <cellStyle name="?????? 3" xfId="36" xr:uid="{00000000-0005-0000-0000-000021000000}"/>
    <cellStyle name="?????? 4" xfId="37" xr:uid="{00000000-0005-0000-0000-000022000000}"/>
    <cellStyle name="?????? 5" xfId="38" xr:uid="{00000000-0005-0000-0000-000023000000}"/>
    <cellStyle name="?????? 6" xfId="39" xr:uid="{00000000-0005-0000-0000-000024000000}"/>
    <cellStyle name="???????" xfId="40" xr:uid="{00000000-0005-0000-0000-000025000000}"/>
    <cellStyle name="????_MAXCOM" xfId="41" xr:uid="{00000000-0005-0000-0000-000026000000}"/>
    <cellStyle name="???_TM TEXTILE" xfId="42" xr:uid="{00000000-0005-0000-0000-000027000000}"/>
    <cellStyle name="??_????????????" xfId="43" xr:uid="{00000000-0005-0000-0000-000028000000}"/>
    <cellStyle name="20% - ????? 1" xfId="44" xr:uid="{00000000-0005-0000-0000-000029000000}"/>
    <cellStyle name="20% - ????? 2" xfId="45" xr:uid="{00000000-0005-0000-0000-00002A000000}"/>
    <cellStyle name="20% - ????? 3" xfId="46" xr:uid="{00000000-0005-0000-0000-00002B000000}"/>
    <cellStyle name="20% - ????? 4" xfId="47" xr:uid="{00000000-0005-0000-0000-00002C000000}"/>
    <cellStyle name="20% - ????? 5" xfId="48" xr:uid="{00000000-0005-0000-0000-00002D000000}"/>
    <cellStyle name="20% - ????? 6" xfId="49" xr:uid="{00000000-0005-0000-0000-00002E000000}"/>
    <cellStyle name="20% - ?????? 1" xfId="50" xr:uid="{00000000-0005-0000-0000-00002F000000}"/>
    <cellStyle name="20% - ?????? 2" xfId="51" xr:uid="{00000000-0005-0000-0000-000030000000}"/>
    <cellStyle name="20% - ?????? 3" xfId="52" xr:uid="{00000000-0005-0000-0000-000031000000}"/>
    <cellStyle name="20% - ?????? 4" xfId="53" xr:uid="{00000000-0005-0000-0000-000032000000}"/>
    <cellStyle name="20% - ?????? 5" xfId="54" xr:uid="{00000000-0005-0000-0000-000033000000}"/>
    <cellStyle name="20% - ?????? 6" xfId="55" xr:uid="{00000000-0005-0000-0000-000034000000}"/>
    <cellStyle name="20% - アクセント 1" xfId="56" xr:uid="{00000000-0005-0000-0000-000035000000}"/>
    <cellStyle name="20% - アクセント 2" xfId="57" xr:uid="{00000000-0005-0000-0000-000036000000}"/>
    <cellStyle name="20% - アクセント 3" xfId="58" xr:uid="{00000000-0005-0000-0000-000037000000}"/>
    <cellStyle name="20% - アクセント 4" xfId="59" xr:uid="{00000000-0005-0000-0000-000038000000}"/>
    <cellStyle name="20% - アクセント 5" xfId="60" xr:uid="{00000000-0005-0000-0000-000039000000}"/>
    <cellStyle name="20% - アクセント 6" xfId="61" xr:uid="{00000000-0005-0000-0000-00003A000000}"/>
    <cellStyle name="20% - 强调文字颜色 1" xfId="62" xr:uid="{00000000-0005-0000-0000-00003B000000}"/>
    <cellStyle name="20% - 强调文字颜色 2" xfId="63" xr:uid="{00000000-0005-0000-0000-00003C000000}"/>
    <cellStyle name="20% - 强调文字颜色 3" xfId="64" xr:uid="{00000000-0005-0000-0000-00003D000000}"/>
    <cellStyle name="20% - 强调文字颜色 4" xfId="65" xr:uid="{00000000-0005-0000-0000-00003E000000}"/>
    <cellStyle name="20% - 强调文字颜色 5" xfId="66" xr:uid="{00000000-0005-0000-0000-00003F000000}"/>
    <cellStyle name="20% - 强调文字颜色 6" xfId="67" xr:uid="{00000000-0005-0000-0000-000040000000}"/>
    <cellStyle name="40% - ????? 1" xfId="68" xr:uid="{00000000-0005-0000-0000-000041000000}"/>
    <cellStyle name="40% - ????? 2" xfId="69" xr:uid="{00000000-0005-0000-0000-000042000000}"/>
    <cellStyle name="40% - ????? 3" xfId="70" xr:uid="{00000000-0005-0000-0000-000043000000}"/>
    <cellStyle name="40% - ????? 4" xfId="71" xr:uid="{00000000-0005-0000-0000-000044000000}"/>
    <cellStyle name="40% - ????? 5" xfId="72" xr:uid="{00000000-0005-0000-0000-000045000000}"/>
    <cellStyle name="40% - ????? 6" xfId="73" xr:uid="{00000000-0005-0000-0000-000046000000}"/>
    <cellStyle name="40% - ?????? 1" xfId="74" xr:uid="{00000000-0005-0000-0000-000047000000}"/>
    <cellStyle name="40% - ?????? 2" xfId="75" xr:uid="{00000000-0005-0000-0000-000048000000}"/>
    <cellStyle name="40% - ?????? 3" xfId="76" xr:uid="{00000000-0005-0000-0000-000049000000}"/>
    <cellStyle name="40% - ?????? 4" xfId="77" xr:uid="{00000000-0005-0000-0000-00004A000000}"/>
    <cellStyle name="40% - ?????? 5" xfId="78" xr:uid="{00000000-0005-0000-0000-00004B000000}"/>
    <cellStyle name="40% - ?????? 6" xfId="79" xr:uid="{00000000-0005-0000-0000-00004C000000}"/>
    <cellStyle name="40% - アクセント 1" xfId="80" xr:uid="{00000000-0005-0000-0000-00004D000000}"/>
    <cellStyle name="40% - アクセント 2" xfId="81" xr:uid="{00000000-0005-0000-0000-00004E000000}"/>
    <cellStyle name="40% - アクセント 3" xfId="82" xr:uid="{00000000-0005-0000-0000-00004F000000}"/>
    <cellStyle name="40% - アクセント 4" xfId="83" xr:uid="{00000000-0005-0000-0000-000050000000}"/>
    <cellStyle name="40% - アクセント 5" xfId="84" xr:uid="{00000000-0005-0000-0000-000051000000}"/>
    <cellStyle name="40% - アクセント 6" xfId="85" xr:uid="{00000000-0005-0000-0000-000052000000}"/>
    <cellStyle name="40% - 强调文字颜色 1" xfId="86" xr:uid="{00000000-0005-0000-0000-000053000000}"/>
    <cellStyle name="40% - 强调文字颜色 2" xfId="87" xr:uid="{00000000-0005-0000-0000-000054000000}"/>
    <cellStyle name="40% - 强调文字颜色 3" xfId="88" xr:uid="{00000000-0005-0000-0000-000055000000}"/>
    <cellStyle name="40% - 强调文字颜色 4" xfId="89" xr:uid="{00000000-0005-0000-0000-000056000000}"/>
    <cellStyle name="40% - 强调文字颜色 5" xfId="90" xr:uid="{00000000-0005-0000-0000-000057000000}"/>
    <cellStyle name="40% - 强调文字颜色 6" xfId="91" xr:uid="{00000000-0005-0000-0000-000058000000}"/>
    <cellStyle name="60% - ????? 1" xfId="92" xr:uid="{00000000-0005-0000-0000-000059000000}"/>
    <cellStyle name="60% - ????? 2" xfId="93" xr:uid="{00000000-0005-0000-0000-00005A000000}"/>
    <cellStyle name="60% - ????? 3" xfId="94" xr:uid="{00000000-0005-0000-0000-00005B000000}"/>
    <cellStyle name="60% - ????? 4" xfId="95" xr:uid="{00000000-0005-0000-0000-00005C000000}"/>
    <cellStyle name="60% - ????? 5" xfId="96" xr:uid="{00000000-0005-0000-0000-00005D000000}"/>
    <cellStyle name="60% - ????? 6" xfId="97" xr:uid="{00000000-0005-0000-0000-00005E000000}"/>
    <cellStyle name="60% - ?????? 1" xfId="98" xr:uid="{00000000-0005-0000-0000-00005F000000}"/>
    <cellStyle name="60% - ?????? 2" xfId="99" xr:uid="{00000000-0005-0000-0000-000060000000}"/>
    <cellStyle name="60% - ?????? 3" xfId="100" xr:uid="{00000000-0005-0000-0000-000061000000}"/>
    <cellStyle name="60% - ?????? 4" xfId="101" xr:uid="{00000000-0005-0000-0000-000062000000}"/>
    <cellStyle name="60% - ?????? 5" xfId="102" xr:uid="{00000000-0005-0000-0000-000063000000}"/>
    <cellStyle name="60% - ?????? 6" xfId="103" xr:uid="{00000000-0005-0000-0000-000064000000}"/>
    <cellStyle name="60% - アクセント 1" xfId="104" xr:uid="{00000000-0005-0000-0000-000065000000}"/>
    <cellStyle name="60% - アクセント 2" xfId="105" xr:uid="{00000000-0005-0000-0000-000066000000}"/>
    <cellStyle name="60% - アクセント 3" xfId="106" xr:uid="{00000000-0005-0000-0000-000067000000}"/>
    <cellStyle name="60% - アクセント 4" xfId="107" xr:uid="{00000000-0005-0000-0000-000068000000}"/>
    <cellStyle name="60% - アクセント 5" xfId="108" xr:uid="{00000000-0005-0000-0000-000069000000}"/>
    <cellStyle name="60% - アクセント 6" xfId="109" xr:uid="{00000000-0005-0000-0000-00006A000000}"/>
    <cellStyle name="60% - 强调文字颜色 1" xfId="110" xr:uid="{00000000-0005-0000-0000-00006B000000}"/>
    <cellStyle name="60% - 强调文字颜色 2" xfId="111" xr:uid="{00000000-0005-0000-0000-00006C000000}"/>
    <cellStyle name="60% - 强调文字颜色 3" xfId="112" xr:uid="{00000000-0005-0000-0000-00006D000000}"/>
    <cellStyle name="60% - 强调文字颜色 4" xfId="113" xr:uid="{00000000-0005-0000-0000-00006E000000}"/>
    <cellStyle name="60% - 强调文字颜色 5" xfId="114" xr:uid="{00000000-0005-0000-0000-00006F000000}"/>
    <cellStyle name="60% - 强调文字颜色 6" xfId="115" xr:uid="{00000000-0005-0000-0000-000070000000}"/>
    <cellStyle name="Comma 2" xfId="116" xr:uid="{00000000-0005-0000-0000-000071000000}"/>
    <cellStyle name="Comma 3" xfId="117" xr:uid="{00000000-0005-0000-0000-000072000000}"/>
    <cellStyle name="Comma 3 2" xfId="193" xr:uid="{AE6EC565-46B0-41AF-9E5D-5496DAE43344}"/>
    <cellStyle name="Hyperlink" xfId="2" builtinId="8"/>
    <cellStyle name="Normal" xfId="0" builtinId="0"/>
    <cellStyle name="Normal 2" xfId="118" xr:uid="{00000000-0005-0000-0000-000075000000}"/>
    <cellStyle name="Normal 2 2" xfId="119" xr:uid="{00000000-0005-0000-0000-000076000000}"/>
    <cellStyle name="Normal 3" xfId="120" xr:uid="{00000000-0005-0000-0000-000077000000}"/>
    <cellStyle name="Normal 3 2" xfId="121" xr:uid="{00000000-0005-0000-0000-000078000000}"/>
    <cellStyle name="Normal 3_MAXCOM" xfId="122" xr:uid="{00000000-0005-0000-0000-000079000000}"/>
    <cellStyle name="Normal 4" xfId="123" xr:uid="{00000000-0005-0000-0000-00007A000000}"/>
    <cellStyle name="Normal 4 2" xfId="124" xr:uid="{00000000-0005-0000-0000-00007B000000}"/>
    <cellStyle name="Normal 5" xfId="125" xr:uid="{00000000-0005-0000-0000-00007C000000}"/>
    <cellStyle name="Normal 6" xfId="126" xr:uid="{00000000-0005-0000-0000-00007D000000}"/>
    <cellStyle name="Normal 6 2" xfId="194" xr:uid="{407CBA01-2C49-4EFC-BC87-B0055E9EBBB4}"/>
    <cellStyle name="Percent" xfId="196" builtinId="5"/>
    <cellStyle name="Percent 2" xfId="127" xr:uid="{00000000-0005-0000-0000-00007E000000}"/>
    <cellStyle name="Percent 3" xfId="128" xr:uid="{00000000-0005-0000-0000-00007F000000}"/>
    <cellStyle name="Percent 4" xfId="129" xr:uid="{00000000-0005-0000-0000-000080000000}"/>
    <cellStyle name="Percent 4 2" xfId="195" xr:uid="{A0D2DF7C-4E4A-4774-A2EB-C8D9D32778FE}"/>
    <cellStyle name="アクセント 1" xfId="130" xr:uid="{00000000-0005-0000-0000-000081000000}"/>
    <cellStyle name="アクセント 2" xfId="131" xr:uid="{00000000-0005-0000-0000-000082000000}"/>
    <cellStyle name="アクセント 3" xfId="132" xr:uid="{00000000-0005-0000-0000-000083000000}"/>
    <cellStyle name="アクセント 4" xfId="133" xr:uid="{00000000-0005-0000-0000-000084000000}"/>
    <cellStyle name="アクセント 5" xfId="134" xr:uid="{00000000-0005-0000-0000-000085000000}"/>
    <cellStyle name="アクセント 6" xfId="135" xr:uid="{00000000-0005-0000-0000-000086000000}"/>
    <cellStyle name="タイトル" xfId="136" xr:uid="{00000000-0005-0000-0000-000087000000}"/>
    <cellStyle name="チェック セル" xfId="137" xr:uid="{00000000-0005-0000-0000-000088000000}"/>
    <cellStyle name="どちらでもない" xfId="138" xr:uid="{00000000-0005-0000-0000-000089000000}"/>
    <cellStyle name="パーセント 2" xfId="139" xr:uid="{00000000-0005-0000-0000-00008A000000}"/>
    <cellStyle name="メモ" xfId="140" xr:uid="{00000000-0005-0000-0000-00008B000000}"/>
    <cellStyle name="リンク セル" xfId="141" xr:uid="{00000000-0005-0000-0000-00008C000000}"/>
    <cellStyle name="入力" xfId="142" xr:uid="{00000000-0005-0000-0000-00008D000000}"/>
    <cellStyle name="出力" xfId="143" xr:uid="{00000000-0005-0000-0000-00008E000000}"/>
    <cellStyle name="好" xfId="144" xr:uid="{00000000-0005-0000-0000-00008F000000}"/>
    <cellStyle name="差" xfId="145" xr:uid="{00000000-0005-0000-0000-000090000000}"/>
    <cellStyle name="常规 2" xfId="146" xr:uid="{00000000-0005-0000-0000-000091000000}"/>
    <cellStyle name="常规_※㈱ユニクロ　朴様採寸表" xfId="147" xr:uid="{00000000-0005-0000-0000-000092000000}"/>
    <cellStyle name="强调文字颜色 1" xfId="148" xr:uid="{00000000-0005-0000-0000-000093000000}"/>
    <cellStyle name="强调文字颜色 2" xfId="149" xr:uid="{00000000-0005-0000-0000-000094000000}"/>
    <cellStyle name="强调文字颜色 3" xfId="150" xr:uid="{00000000-0005-0000-0000-000095000000}"/>
    <cellStyle name="强调文字颜色 4" xfId="151" xr:uid="{00000000-0005-0000-0000-000096000000}"/>
    <cellStyle name="强调文字颜色 5" xfId="152" xr:uid="{00000000-0005-0000-0000-000097000000}"/>
    <cellStyle name="强调文字颜色 6" xfId="153" xr:uid="{00000000-0005-0000-0000-000098000000}"/>
    <cellStyle name="悪い" xfId="154" xr:uid="{00000000-0005-0000-0000-000099000000}"/>
    <cellStyle name="标题" xfId="155" xr:uid="{00000000-0005-0000-0000-00009A000000}"/>
    <cellStyle name="标题 1" xfId="156" xr:uid="{00000000-0005-0000-0000-00009B000000}"/>
    <cellStyle name="标题 2" xfId="157" xr:uid="{00000000-0005-0000-0000-00009C000000}"/>
    <cellStyle name="标题 3" xfId="158" xr:uid="{00000000-0005-0000-0000-00009D000000}"/>
    <cellStyle name="标题 4" xfId="159" xr:uid="{00000000-0005-0000-0000-00009E000000}"/>
    <cellStyle name="检查单元格" xfId="160" xr:uid="{00000000-0005-0000-0000-00009F000000}"/>
    <cellStyle name="標準 10" xfId="161" xr:uid="{00000000-0005-0000-0000-0000A0000000}"/>
    <cellStyle name="標準 11" xfId="162" xr:uid="{00000000-0005-0000-0000-0000A1000000}"/>
    <cellStyle name="標準 12" xfId="163" xr:uid="{00000000-0005-0000-0000-0000A2000000}"/>
    <cellStyle name="標準 12 2" xfId="164" xr:uid="{00000000-0005-0000-0000-0000A3000000}"/>
    <cellStyle name="標準 2" xfId="165" xr:uid="{00000000-0005-0000-0000-0000A4000000}"/>
    <cellStyle name="標準 2 2" xfId="166" xr:uid="{00000000-0005-0000-0000-0000A5000000}"/>
    <cellStyle name="標準 3" xfId="167" xr:uid="{00000000-0005-0000-0000-0000A6000000}"/>
    <cellStyle name="標準 4" xfId="168" xr:uid="{00000000-0005-0000-0000-0000A7000000}"/>
    <cellStyle name="標準 5" xfId="169" xr:uid="{00000000-0005-0000-0000-0000A8000000}"/>
    <cellStyle name="標準 6" xfId="170" xr:uid="{00000000-0005-0000-0000-0000A9000000}"/>
    <cellStyle name="標準 7" xfId="171" xr:uid="{00000000-0005-0000-0000-0000AA000000}"/>
    <cellStyle name="標準 8" xfId="172" xr:uid="{00000000-0005-0000-0000-0000AB000000}"/>
    <cellStyle name="標準 9" xfId="173" xr:uid="{00000000-0005-0000-0000-0000AC000000}"/>
    <cellStyle name="標準_Sheet1" xfId="1" xr:uid="{00000000-0005-0000-0000-0000AD000000}"/>
    <cellStyle name="標準_Sheet1 2" xfId="197" xr:uid="{A3E5D2DE-912C-44C6-B463-2565E36CCC90}"/>
    <cellStyle name="汇总" xfId="174" xr:uid="{00000000-0005-0000-0000-0000AE000000}"/>
    <cellStyle name="注释" xfId="175" xr:uid="{00000000-0005-0000-0000-0000AF000000}"/>
    <cellStyle name="百分比 2" xfId="176" xr:uid="{00000000-0005-0000-0000-0000B0000000}"/>
    <cellStyle name="良い" xfId="177" xr:uid="{00000000-0005-0000-0000-0000B1000000}"/>
    <cellStyle name="見出し 1" xfId="178" xr:uid="{00000000-0005-0000-0000-0000B2000000}"/>
    <cellStyle name="見出し 2" xfId="179" xr:uid="{00000000-0005-0000-0000-0000B3000000}"/>
    <cellStyle name="見出し 3" xfId="180" xr:uid="{00000000-0005-0000-0000-0000B4000000}"/>
    <cellStyle name="見出し 4" xfId="181" xr:uid="{00000000-0005-0000-0000-0000B5000000}"/>
    <cellStyle name="解释性文本" xfId="182" xr:uid="{00000000-0005-0000-0000-0000B6000000}"/>
    <cellStyle name="計算" xfId="183" xr:uid="{00000000-0005-0000-0000-0000B7000000}"/>
    <cellStyle name="説明文" xfId="184" xr:uid="{00000000-0005-0000-0000-0000B8000000}"/>
    <cellStyle name="警告文" xfId="185" xr:uid="{00000000-0005-0000-0000-0000B9000000}"/>
    <cellStyle name="警告文本" xfId="186" xr:uid="{00000000-0005-0000-0000-0000BA000000}"/>
    <cellStyle name="计算" xfId="187" xr:uid="{00000000-0005-0000-0000-0000BB000000}"/>
    <cellStyle name="输入" xfId="188" xr:uid="{00000000-0005-0000-0000-0000BC000000}"/>
    <cellStyle name="输出" xfId="189" xr:uid="{00000000-0005-0000-0000-0000BD000000}"/>
    <cellStyle name="适中" xfId="190" xr:uid="{00000000-0005-0000-0000-0000BE000000}"/>
    <cellStyle name="链接单元格" xfId="191" xr:uid="{00000000-0005-0000-0000-0000BF000000}"/>
    <cellStyle name="集計" xfId="192" xr:uid="{00000000-0005-0000-0000-0000C0000000}"/>
  </cellStyles>
  <dxfs count="0"/>
  <tableStyles count="0" defaultTableStyle="TableStyleMedium2" defaultPivotStyle="PivotStyleLight16"/>
  <colors>
    <mruColors>
      <color rgb="FFCCFFCC"/>
      <color rgb="FFA50021"/>
      <color rgb="FF993300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/>
              <a:t>Factory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5771551883479354E-2"/>
          <c:y val="9.5063925531208585E-2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Final!$Z$2:$CY$2</c:f>
              <c:strCache>
                <c:ptCount val="78"/>
                <c:pt idx="0">
                  <c:v>1.Damage</c:v>
                </c:pt>
                <c:pt idx="1">
                  <c:v>2.Needle breakage defect</c:v>
                </c:pt>
                <c:pt idx="2">
                  <c:v>3.Hole, tear</c:v>
                </c:pt>
                <c:pt idx="3">
                  <c:v>4.NEP</c:v>
                </c:pt>
                <c:pt idx="4">
                  <c:v>5.SLUB</c:v>
                </c:pt>
                <c:pt idx="5">
                  <c:v>6.Weft defect</c:v>
                </c:pt>
                <c:pt idx="6">
                  <c:v>7.Unexpected things interwoven</c:v>
                </c:pt>
                <c:pt idx="7">
                  <c:v>8.Bowing</c:v>
                </c:pt>
                <c:pt idx="8">
                  <c:v>9.Odor</c:v>
                </c:pt>
                <c:pt idx="9">
                  <c:v>10.Uneven dyeing</c:v>
                </c:pt>
                <c:pt idx="10">
                  <c:v>11.Texture, surface defect</c:v>
                </c:pt>
                <c:pt idx="11">
                  <c:v>12.Warp and weft defect</c:v>
                </c:pt>
                <c:pt idx="12">
                  <c:v>13.Yarn severance</c:v>
                </c:pt>
                <c:pt idx="13">
                  <c:v>1.Hue difference</c:v>
                </c:pt>
                <c:pt idx="14">
                  <c:v>2.Unevenness</c:v>
                </c:pt>
                <c:pt idx="15">
                  <c:v>3.Pieces not symmetrical</c:v>
                </c:pt>
                <c:pt idx="16">
                  <c:v>4.Deformation (Defect in shape)</c:v>
                </c:pt>
                <c:pt idx="17">
                  <c:v>5.Tight or loose part of fabric</c:v>
                </c:pt>
                <c:pt idx="18">
                  <c:v>6.Uneven seam</c:v>
                </c:pt>
                <c:pt idx="19">
                  <c:v>7.Spiralty, wrinkle</c:v>
                </c:pt>
                <c:pt idx="20">
                  <c:v>8.PUCKERING</c:v>
                </c:pt>
                <c:pt idx="21">
                  <c:v>9.Corrugation</c:v>
                </c:pt>
                <c:pt idx="22">
                  <c:v>10.Thread breakage</c:v>
                </c:pt>
                <c:pt idx="23">
                  <c:v>11.Lack of elasticity</c:v>
                </c:pt>
                <c:pt idx="24">
                  <c:v>12.Incorrect stitching number</c:v>
                </c:pt>
                <c:pt idx="25">
                  <c:v>13.Stitches out of seam allowance</c:v>
                </c:pt>
                <c:pt idx="26">
                  <c:v>14.Missing stitch</c:v>
                </c:pt>
                <c:pt idx="27">
                  <c:v>15.Lack of seam allowance</c:v>
                </c:pt>
                <c:pt idx="28">
                  <c:v>16.Unexpected tuck</c:v>
                </c:pt>
                <c:pt idx="29">
                  <c:v>17.Unexpected fullness</c:v>
                </c:pt>
                <c:pt idx="30">
                  <c:v>18.Needle mark</c:v>
                </c:pt>
                <c:pt idx="31">
                  <c:v>19.Sewing defects caused by machine</c:v>
                </c:pt>
                <c:pt idx="32">
                  <c:v>20.Incorrect size of lining</c:v>
                </c:pt>
                <c:pt idx="33">
                  <c:v>21.Skipped stitch</c:v>
                </c:pt>
                <c:pt idx="34">
                  <c:v>22.Sewing involving unexpected parts</c:v>
                </c:pt>
                <c:pt idx="35">
                  <c:v>23.Missing sewing process</c:v>
                </c:pt>
                <c:pt idx="36">
                  <c:v>24.Mislocated bar-tack</c:v>
                </c:pt>
                <c:pt idx="37">
                  <c:v>25.Incorrect thread tension</c:v>
                </c:pt>
                <c:pt idx="38">
                  <c:v>26.Falling off of a thread</c:v>
                </c:pt>
                <c:pt idx="39">
                  <c:v>27.Lack of reverse stitch</c:v>
                </c:pt>
                <c:pt idx="40">
                  <c:v>28.Incorrect easing</c:v>
                </c:pt>
                <c:pt idx="41">
                  <c:v>29.Piecing defect</c:v>
                </c:pt>
                <c:pt idx="42">
                  <c:v>30.Incorrect lapped seam</c:v>
                </c:pt>
                <c:pt idx="43">
                  <c:v>31.Incorrect trimming</c:v>
                </c:pt>
                <c:pt idx="44">
                  <c:v>32.Lack of strength</c:v>
                </c:pt>
                <c:pt idx="45">
                  <c:v>33.Incorrect buttonhole sewing</c:v>
                </c:pt>
                <c:pt idx="46">
                  <c:v>34.Incorrect brand label sewing</c:v>
                </c:pt>
                <c:pt idx="47">
                  <c:v>35.Sewing slip</c:v>
                </c:pt>
                <c:pt idx="48">
                  <c:v>36.Incorrect position</c:v>
                </c:pt>
                <c:pt idx="49">
                  <c:v>37.Incorrect pattern matching</c:v>
                </c:pt>
                <c:pt idx="50">
                  <c:v>38.Peel off glue/delamination</c:v>
                </c:pt>
                <c:pt idx="51">
                  <c:v>39.Visible/see through glue</c:v>
                </c:pt>
                <c:pt idx="52">
                  <c:v>40.Bonding seam uneven/wavy</c:v>
                </c:pt>
                <c:pt idx="53">
                  <c:v>41.Bonding seam not catch up/bad selvaged</c:v>
                </c:pt>
                <c:pt idx="54">
                  <c:v>42.Stick glue/leaking glue</c:v>
                </c:pt>
                <c:pt idx="55">
                  <c:v>43.Mold Shape</c:v>
                </c:pt>
                <c:pt idx="56">
                  <c:v>44.Poor application glue position</c:v>
                </c:pt>
                <c:pt idx="57">
                  <c:v>1.Unsecured rivet and snap buttons</c:v>
                </c:pt>
                <c:pt idx="58">
                  <c:v>2.Incorrect swaging</c:v>
                </c:pt>
                <c:pt idx="59">
                  <c:v>3.Falling off of buttons</c:v>
                </c:pt>
                <c:pt idx="60">
                  <c:v>4.Burr</c:v>
                </c:pt>
                <c:pt idx="61">
                  <c:v>5.Incorrect zippers</c:v>
                </c:pt>
                <c:pt idx="62">
                  <c:v>6.Incorrect indication of sub materials</c:v>
                </c:pt>
                <c:pt idx="63">
                  <c:v>7.Incorrect quality of materials</c:v>
                </c:pt>
                <c:pt idx="64">
                  <c:v>8.Missing accessories</c:v>
                </c:pt>
                <c:pt idx="65">
                  <c:v>9.Adhesive interlining</c:v>
                </c:pt>
                <c:pt idx="66">
                  <c:v>1.Dust, lint</c:v>
                </c:pt>
                <c:pt idx="67">
                  <c:v>2.Smear, stain</c:v>
                </c:pt>
                <c:pt idx="68">
                  <c:v>3.Size</c:v>
                </c:pt>
                <c:pt idx="69">
                  <c:v>4.Peel off and misalignment of prints</c:v>
                </c:pt>
                <c:pt idx="70">
                  <c:v>5.Pressure mark</c:v>
                </c:pt>
                <c:pt idx="71">
                  <c:v>6.Wash finish</c:v>
                </c:pt>
                <c:pt idx="72">
                  <c:v>1.Thread</c:v>
                </c:pt>
                <c:pt idx="73">
                  <c:v>2.Hazardous object/ foreign bodies</c:v>
                </c:pt>
                <c:pt idx="74">
                  <c:v>3.Odor</c:v>
                </c:pt>
                <c:pt idx="75">
                  <c:v>1.Bad packing</c:v>
                </c:pt>
                <c:pt idx="76">
                  <c:v>2.Wrong quantity packed</c:v>
                </c:pt>
                <c:pt idx="77">
                  <c:v>3.Others</c:v>
                </c:pt>
              </c:strCache>
            </c:strRef>
          </c:cat>
          <c:val>
            <c:numRef>
              <c:f>Final!$Z$4:$CY$4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78-44C4-A18D-C691AE580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67264"/>
        <c:axId val="77869056"/>
      </c:barChart>
      <c:catAx>
        <c:axId val="778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9056"/>
        <c:crosses val="autoZero"/>
        <c:auto val="1"/>
        <c:lblAlgn val="ctr"/>
        <c:lblOffset val="100"/>
        <c:noMultiLvlLbl val="0"/>
      </c:catAx>
      <c:valAx>
        <c:axId val="778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72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 5 Defect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Final!$O$5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Final!$M$6:$M$10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cat>
          <c:val>
            <c:numRef>
              <c:f>Final!$O$6:$O$10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A-44A9-B16F-7D12429FD9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235900039880174"/>
          <c:w val="0.51748807208815495"/>
          <c:h val="0.71062018307782193"/>
        </c:manualLayout>
      </c:layout>
      <c:overlay val="0"/>
      <c:txPr>
        <a:bodyPr/>
        <a:lstStyle/>
        <a:p>
          <a:pPr rtl="0">
            <a:defRPr sz="12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/>
              <a:t>Factory</a:t>
            </a:r>
            <a:endParaRPr lang="en-US"/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1.5771551883479354E-2"/>
          <c:y val="9.5063925531208585E-2"/>
          <c:w val="0.96819085487080114"/>
          <c:h val="0.56489945155395804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dLbls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'Re-Final'!$Z$2:$CY$2</c:f>
              <c:strCache>
                <c:ptCount val="78"/>
                <c:pt idx="0">
                  <c:v>1.Damage</c:v>
                </c:pt>
                <c:pt idx="1">
                  <c:v>2.Needle breakage defect</c:v>
                </c:pt>
                <c:pt idx="2">
                  <c:v>3.Hole, tear</c:v>
                </c:pt>
                <c:pt idx="3">
                  <c:v>4.NEP</c:v>
                </c:pt>
                <c:pt idx="4">
                  <c:v>5.SLUB</c:v>
                </c:pt>
                <c:pt idx="5">
                  <c:v>6.Weft defect</c:v>
                </c:pt>
                <c:pt idx="6">
                  <c:v>7.Unexpected things interwoven</c:v>
                </c:pt>
                <c:pt idx="7">
                  <c:v>8.Bowing</c:v>
                </c:pt>
                <c:pt idx="8">
                  <c:v>9.Odor</c:v>
                </c:pt>
                <c:pt idx="9">
                  <c:v>10.Uneven dyeing</c:v>
                </c:pt>
                <c:pt idx="10">
                  <c:v>11.Texture, surface defect</c:v>
                </c:pt>
                <c:pt idx="11">
                  <c:v>12.Warp and weft defect</c:v>
                </c:pt>
                <c:pt idx="12">
                  <c:v>13.Yarn severance</c:v>
                </c:pt>
                <c:pt idx="13">
                  <c:v>1.Hue difference</c:v>
                </c:pt>
                <c:pt idx="14">
                  <c:v>2.Unevenness</c:v>
                </c:pt>
                <c:pt idx="15">
                  <c:v>3.Pieces not symmetrical</c:v>
                </c:pt>
                <c:pt idx="16">
                  <c:v>4.Deformation (Defect in shape)</c:v>
                </c:pt>
                <c:pt idx="17">
                  <c:v>5.Tight or loose part of fabric</c:v>
                </c:pt>
                <c:pt idx="18">
                  <c:v>6.Uneven seam</c:v>
                </c:pt>
                <c:pt idx="19">
                  <c:v>7.Spiralty, wrinkle</c:v>
                </c:pt>
                <c:pt idx="20">
                  <c:v>8.PUCKERING</c:v>
                </c:pt>
                <c:pt idx="21">
                  <c:v>9.Corrugation</c:v>
                </c:pt>
                <c:pt idx="22">
                  <c:v>10.Thread breakage</c:v>
                </c:pt>
                <c:pt idx="23">
                  <c:v>11.Lack of elasticity</c:v>
                </c:pt>
                <c:pt idx="24">
                  <c:v>12.Incorrect stitching number</c:v>
                </c:pt>
                <c:pt idx="25">
                  <c:v>13.Stitches out of seam allowance</c:v>
                </c:pt>
                <c:pt idx="26">
                  <c:v>14.Missing stitch</c:v>
                </c:pt>
                <c:pt idx="27">
                  <c:v>15.Lack of seam allowance</c:v>
                </c:pt>
                <c:pt idx="28">
                  <c:v>16.Unexpected tuck</c:v>
                </c:pt>
                <c:pt idx="29">
                  <c:v>17.Unexpected fullness</c:v>
                </c:pt>
                <c:pt idx="30">
                  <c:v>18.Needle mark</c:v>
                </c:pt>
                <c:pt idx="31">
                  <c:v>19.Sewing defects caused by machine</c:v>
                </c:pt>
                <c:pt idx="32">
                  <c:v>20.Incorrect size of lining</c:v>
                </c:pt>
                <c:pt idx="33">
                  <c:v>21.Skipped stitch</c:v>
                </c:pt>
                <c:pt idx="34">
                  <c:v>22.Sewing involving unexpected parts</c:v>
                </c:pt>
                <c:pt idx="35">
                  <c:v>23.Missing sewing process</c:v>
                </c:pt>
                <c:pt idx="36">
                  <c:v>24.Mislocated bar-tack</c:v>
                </c:pt>
                <c:pt idx="37">
                  <c:v>25.Incorrect thread tension</c:v>
                </c:pt>
                <c:pt idx="38">
                  <c:v>26.Falling off of a thread</c:v>
                </c:pt>
                <c:pt idx="39">
                  <c:v>27.Lack of reverse stitch</c:v>
                </c:pt>
                <c:pt idx="40">
                  <c:v>28.Incorrect easing</c:v>
                </c:pt>
                <c:pt idx="41">
                  <c:v>29.Piecing defect</c:v>
                </c:pt>
                <c:pt idx="42">
                  <c:v>30.Incorrect lapped seam</c:v>
                </c:pt>
                <c:pt idx="43">
                  <c:v>31.Incorrect trimming</c:v>
                </c:pt>
                <c:pt idx="44">
                  <c:v>32.Lack of strength</c:v>
                </c:pt>
                <c:pt idx="45">
                  <c:v>33.Incorrect buttonhole sewing</c:v>
                </c:pt>
                <c:pt idx="46">
                  <c:v>34.Incorrect brand label sewing</c:v>
                </c:pt>
                <c:pt idx="47">
                  <c:v>35.Sewing slip</c:v>
                </c:pt>
                <c:pt idx="48">
                  <c:v>36.Incorrect position</c:v>
                </c:pt>
                <c:pt idx="49">
                  <c:v>37.Incorrect pattern matching</c:v>
                </c:pt>
                <c:pt idx="50">
                  <c:v>38.Peel off glue/delamination</c:v>
                </c:pt>
                <c:pt idx="51">
                  <c:v>39.Visible/see through glue</c:v>
                </c:pt>
                <c:pt idx="52">
                  <c:v>40.Bonding seam uneven/wavy</c:v>
                </c:pt>
                <c:pt idx="53">
                  <c:v>41.Bonding seam not catch up/bad selvaged</c:v>
                </c:pt>
                <c:pt idx="54">
                  <c:v>42.Stick glue/leaking glue</c:v>
                </c:pt>
                <c:pt idx="55">
                  <c:v>43.Mold Shape</c:v>
                </c:pt>
                <c:pt idx="56">
                  <c:v>44.Poor application glue position</c:v>
                </c:pt>
                <c:pt idx="57">
                  <c:v>1.Unsecured rivet and snap buttons</c:v>
                </c:pt>
                <c:pt idx="58">
                  <c:v>2.Incorrect swaging</c:v>
                </c:pt>
                <c:pt idx="59">
                  <c:v>3.Falling off of buttons</c:v>
                </c:pt>
                <c:pt idx="60">
                  <c:v>4.Burr</c:v>
                </c:pt>
                <c:pt idx="61">
                  <c:v>5.Incorrect zippers</c:v>
                </c:pt>
                <c:pt idx="62">
                  <c:v>6.Incorrect indication of sub materials</c:v>
                </c:pt>
                <c:pt idx="63">
                  <c:v>7.Incorrect quality of materials</c:v>
                </c:pt>
                <c:pt idx="64">
                  <c:v>8.Missing accessories</c:v>
                </c:pt>
                <c:pt idx="65">
                  <c:v>9.Adhesive interlining</c:v>
                </c:pt>
                <c:pt idx="66">
                  <c:v>1.Dust, lint</c:v>
                </c:pt>
                <c:pt idx="67">
                  <c:v>2.Smear, stain</c:v>
                </c:pt>
                <c:pt idx="68">
                  <c:v>3.Size</c:v>
                </c:pt>
                <c:pt idx="69">
                  <c:v>4.Peel off and misalignment of prints</c:v>
                </c:pt>
                <c:pt idx="70">
                  <c:v>5.Pressure mark</c:v>
                </c:pt>
                <c:pt idx="71">
                  <c:v>6.Wash finish</c:v>
                </c:pt>
                <c:pt idx="72">
                  <c:v>1.Thread</c:v>
                </c:pt>
                <c:pt idx="73">
                  <c:v>2.Hazardous object/ foreign bodies</c:v>
                </c:pt>
                <c:pt idx="74">
                  <c:v>3.Odor</c:v>
                </c:pt>
                <c:pt idx="75">
                  <c:v>1.Bad packing</c:v>
                </c:pt>
                <c:pt idx="76">
                  <c:v>2.Wrong quantity packed</c:v>
                </c:pt>
                <c:pt idx="77">
                  <c:v>3.Others</c:v>
                </c:pt>
              </c:strCache>
            </c:strRef>
          </c:cat>
          <c:val>
            <c:numRef>
              <c:f>'Re-Final'!$Z$4:$CY$4</c:f>
              <c:numCache>
                <c:formatCode>General</c:formatCode>
                <c:ptCount val="7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39D-4AD9-81DE-9672EA6BC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77867264"/>
        <c:axId val="77869056"/>
      </c:barChart>
      <c:catAx>
        <c:axId val="7786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9056"/>
        <c:crosses val="autoZero"/>
        <c:auto val="1"/>
        <c:lblAlgn val="ctr"/>
        <c:lblOffset val="100"/>
        <c:noMultiLvlLbl val="0"/>
      </c:catAx>
      <c:valAx>
        <c:axId val="778690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77867264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Top Defects</a:t>
            </a:r>
          </a:p>
        </c:rich>
      </c:tx>
      <c:layout>
        <c:manualLayout>
          <c:xMode val="edge"/>
          <c:yMode val="edge"/>
          <c:x val="0.30554253392744513"/>
          <c:y val="8.4817642069550461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1.3554783384870414E-2"/>
          <c:y val="6.8619404023260347E-2"/>
          <c:w val="0.33619408403909024"/>
          <c:h val="0.88028203630023283"/>
        </c:manualLayout>
      </c:layout>
      <c:pieChart>
        <c:varyColors val="1"/>
        <c:ser>
          <c:idx val="0"/>
          <c:order val="0"/>
          <c:tx>
            <c:strRef>
              <c:f>'Re-Final'!$O$5</c:f>
              <c:strCache>
                <c:ptCount val="1"/>
                <c:pt idx="0">
                  <c:v>Defect 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050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numRef>
              <c:f>'Re-Final'!$M$6:$M$10</c:f>
              <c:numCache>
                <c:formatCode>General</c:formatCode>
                <c:ptCount val="5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</c:numCache>
            </c:numRef>
          </c:cat>
          <c:val>
            <c:numRef>
              <c:f>'Re-Final'!$O$6:$O$10</c:f>
              <c:numCache>
                <c:formatCode>0.00%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A4-4E9C-B48E-992EF45346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r"/>
      <c:layout>
        <c:manualLayout>
          <c:xMode val="edge"/>
          <c:yMode val="edge"/>
          <c:x val="0.46901665125867353"/>
          <c:y val="0.235900039880174"/>
          <c:w val="0.51748807208815495"/>
          <c:h val="0.71062018307782193"/>
        </c:manualLayout>
      </c:layout>
      <c:overlay val="0"/>
      <c:txPr>
        <a:bodyPr/>
        <a:lstStyle/>
        <a:p>
          <a:pPr rtl="0">
            <a:defRPr sz="1200"/>
          </a:pPr>
          <a:endParaRPr lang="en-US"/>
        </a:p>
      </c:txPr>
    </c:legend>
    <c:plotVisOnly val="1"/>
    <c:dispBlanksAs val="gap"/>
    <c:showDLblsOverMax val="0"/>
  </c:chart>
  <c:spPr>
    <a:solidFill>
      <a:schemeClr val="accent3">
        <a:lumMod val="20000"/>
        <a:lumOff val="80000"/>
      </a:schemeClr>
    </a:solidFill>
  </c:spPr>
  <c:printSettings>
    <c:headerFooter/>
    <c:pageMargins b="0.75" l="0.7" r="0.7" t="0.75" header="0.3" footer="0.3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5603</xdr:colOff>
      <xdr:row>3</xdr:row>
      <xdr:rowOff>168088</xdr:rowOff>
    </xdr:from>
    <xdr:to>
      <xdr:col>103</xdr:col>
      <xdr:colOff>0</xdr:colOff>
      <xdr:row>10</xdr:row>
      <xdr:rowOff>10885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85EEC9-C5D6-4E73-B9A0-5375EA53D9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4</xdr:row>
      <xdr:rowOff>0</xdr:rowOff>
    </xdr:from>
    <xdr:to>
      <xdr:col>8</xdr:col>
      <xdr:colOff>605117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4D4141-EF05-460F-B90E-FC6D3F5564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11205</xdr:colOff>
      <xdr:row>4</xdr:row>
      <xdr:rowOff>11206</xdr:rowOff>
    </xdr:from>
    <xdr:to>
      <xdr:col>102</xdr:col>
      <xdr:colOff>369794</xdr:colOff>
      <xdr:row>9</xdr:row>
      <xdr:rowOff>728383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6774D5-B17B-4F4A-B28B-5275C022F3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38101</xdr:colOff>
      <xdr:row>4</xdr:row>
      <xdr:rowOff>0</xdr:rowOff>
    </xdr:from>
    <xdr:to>
      <xdr:col>8</xdr:col>
      <xdr:colOff>605117</xdr:colOff>
      <xdr:row>10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01A3047-AE71-45A4-BEE3-B2595A9B5EC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4AAC-C1A5-41F5-B917-B9AAEC36440F}">
  <dimension ref="A1:R79"/>
  <sheetViews>
    <sheetView topLeftCell="G1" zoomScale="85" zoomScaleNormal="85" workbookViewId="0">
      <selection activeCell="P19" sqref="P19"/>
    </sheetView>
  </sheetViews>
  <sheetFormatPr defaultRowHeight="15"/>
  <cols>
    <col min="1" max="1" width="22.140625" customWidth="1"/>
    <col min="2" max="2" width="49.42578125" bestFit="1" customWidth="1"/>
    <col min="5" max="5" width="9.140625" customWidth="1"/>
    <col min="6" max="6" width="24.7109375" customWidth="1"/>
    <col min="7" max="7" width="49.42578125" bestFit="1" customWidth="1"/>
    <col min="9" max="9" width="18" customWidth="1"/>
    <col min="10" max="11" width="47.42578125" customWidth="1"/>
    <col min="12" max="12" width="10.85546875" customWidth="1"/>
    <col min="13" max="14" width="10.85546875" style="84" customWidth="1"/>
    <col min="15" max="15" width="20.5703125" customWidth="1"/>
    <col min="16" max="16" width="36.7109375" bestFit="1" customWidth="1"/>
    <col min="17" max="18" width="16.28515625" customWidth="1"/>
    <col min="19" max="25" width="16.28515625" bestFit="1" customWidth="1"/>
    <col min="27" max="27" width="11.28515625" bestFit="1" customWidth="1"/>
  </cols>
  <sheetData>
    <row r="1" spans="1:18" ht="24" customHeight="1" thickBot="1">
      <c r="A1" s="64" t="str" cm="1">
        <f t="array" ref="A1">_xlfn.TEXTJOIN(",", TRUE, IF(Final!$Z$1:$CY$1&lt;&gt;"", COLUMN(Final!$Z$1:$CY$1)-COLUMN(Final!$Z$1)+1, ""))</f>
        <v>1,14,58,67,73,76</v>
      </c>
      <c r="B1" s="64" t="s">
        <v>150</v>
      </c>
      <c r="C1" s="65" t="s">
        <v>151</v>
      </c>
      <c r="D1" s="66" t="s">
        <v>152</v>
      </c>
      <c r="E1" s="67" t="s">
        <v>153</v>
      </c>
      <c r="F1" s="64" t="s">
        <v>154</v>
      </c>
      <c r="G1" s="64" t="s">
        <v>155</v>
      </c>
      <c r="H1" s="65" t="s">
        <v>156</v>
      </c>
      <c r="I1" s="68" t="s">
        <v>157</v>
      </c>
      <c r="J1" s="69" t="s">
        <v>158</v>
      </c>
      <c r="K1" s="69" t="s">
        <v>159</v>
      </c>
      <c r="L1" s="70" t="s">
        <v>160</v>
      </c>
      <c r="M1" s="70" t="s">
        <v>161</v>
      </c>
      <c r="N1" s="72"/>
    </row>
    <row r="2" spans="1:18" ht="15.75" thickBot="1">
      <c r="A2" s="73" t="str" cm="1">
        <f t="array" ref="A2">INDEX(Final!$Z$1:$CY$1, LOOKUP(ROW(A1), {1,14,58,67,73,76}, {1,14,58,67,73,76}))</f>
        <v>A : Fabrics</v>
      </c>
      <c r="B2" s="73" t="str">
        <f>INDEX(Final!$Z$2:$CY$2, ROW()-ROW($B$2)+1)</f>
        <v>1.Damage</v>
      </c>
      <c r="C2" s="74" t="e">
        <f>IF(ISBLANK(D2),"",D2/Final!$W$4)</f>
        <v>#DIV/0!</v>
      </c>
      <c r="D2" s="85">
        <f>INDEX(Final!$Z$4:$CY$4, ROW()-ROW($D$2)+1)</f>
        <v>0</v>
      </c>
      <c r="E2" s="86" t="e">
        <f>IF(C2="",COUNT($C$2:$C$79) + ROW()-ROW($C$2) + 1 - COUNT($C$2:C2),RANK(C2,$C$2:$C$79,0) + COUNTIF($C$2:C2,C2) - 1)</f>
        <v>#DIV/0!</v>
      </c>
      <c r="F2" s="88" t="e">
        <f t="shared" ref="F2:F33" si="0">INDEX($A:$A, MATCH(G2, $B:$B, 0))</f>
        <v>#N/A</v>
      </c>
      <c r="G2" s="105" t="e">
        <f t="shared" ref="G2:G33" si="1">INDEX($B$2:$B$79,MATCH(ROW()-1,$E$2:$E$79,0))</f>
        <v>#N/A</v>
      </c>
      <c r="H2" s="107" t="e">
        <f>IF(ISBLANK(D2),"",D2/Final!$W$4)</f>
        <v>#DIV/0!</v>
      </c>
      <c r="I2" s="90" t="e">
        <f>IF(AND(INDEX($C$2:$C$79,MATCH(ROW()-1,$E$2:$E$79,0))=0,INDEX($D$2:$D$79,MATCH(ROW()-1,$E$2:$E$79,0))=0),"",INDEX($D$2:$D$79,MATCH(ROW()-1,$E$2:$E$79,0)))</f>
        <v>#N/A</v>
      </c>
      <c r="J2" s="110" t="e" cm="1">
        <f t="array" ref="J2">IF(COUNTIF($I$2:I2, I2)=1, _xlfn.TEXTJOIN(", ", TRUE, _xlfn.UNIQUE(_xlfn._xlws.FILTER($F$2:$F$79, $I$2:$I$79=I2, ""))), "")</f>
        <v>#N/A</v>
      </c>
      <c r="K2" s="75" t="e" cm="1">
        <f t="array" ref="K2">IF(COUNTIF($I$2:I2,I2)=1,_xlfn.TEXTJOIN(", ",TRUE,IF($I$2:$I$79=I2,$G$2:$G$79,"")),"")</f>
        <v>#N/A</v>
      </c>
      <c r="L2" s="75" t="e">
        <f>IF(COUNTIF($I$2:I2,I2)=1,I2,"")</f>
        <v>#N/A</v>
      </c>
      <c r="M2" s="76" t="e">
        <f>IF(COUNTIF($H$2:H2,H2)=1,H2,"")</f>
        <v>#DIV/0!</v>
      </c>
      <c r="N2" s="72"/>
      <c r="O2" s="77" t="e">
        <f>INDEX($J$2:$J$36, MATCH(Q2, $L$2:$L$36, 0))</f>
        <v>#N/A</v>
      </c>
      <c r="P2" s="77" t="e">
        <f>INDEX($K$2:$K$36, MATCH(Q2, $L$2:$L$36, 0))</f>
        <v>#N/A</v>
      </c>
      <c r="Q2" s="77" t="e">
        <f>LARGE($L$2:$L$36, 1)</f>
        <v>#N/A</v>
      </c>
      <c r="R2" s="78" t="e">
        <f>LARGE($M$2:$M$36, 1)</f>
        <v>#DIV/0!</v>
      </c>
    </row>
    <row r="3" spans="1:18" ht="18" customHeight="1" thickBot="1">
      <c r="A3" s="73" t="str" cm="1">
        <f t="array" ref="A3">INDEX(Final!$Z$1:$CY$1, LOOKUP(ROW(A2), {1,14,58,67,73,76}, {1,14,58,67,73,76}))</f>
        <v>A : Fabrics</v>
      </c>
      <c r="B3" s="73" t="str">
        <f>INDEX(Final!$Z$2:$CY$2, ROW()-ROW($B$2)+1)</f>
        <v>2.Needle breakage defect</v>
      </c>
      <c r="C3" s="74" t="e">
        <f>IF(ISBLANK(D3),"",D3/Final!$W$4)</f>
        <v>#DIV/0!</v>
      </c>
      <c r="D3" s="85">
        <f>INDEX(Final!$Z$4:$CY$4, ROW()-ROW($D$2)+1)</f>
        <v>0</v>
      </c>
      <c r="E3" s="87" t="e">
        <f>IF(C3="",COUNT($C$2:$C$79) + ROW()-ROW($C$2) + 1 - COUNT($C$2:C3),RANK(C3,$C$2:$C$79,0) + COUNTIF($C$2:C3,C3) - 1)</f>
        <v>#DIV/0!</v>
      </c>
      <c r="F3" s="89" t="e">
        <f t="shared" si="0"/>
        <v>#N/A</v>
      </c>
      <c r="G3" s="106" t="e">
        <f t="shared" si="1"/>
        <v>#N/A</v>
      </c>
      <c r="H3" s="108" t="e">
        <f>IF(ISBLANK(D3),"",D3/Final!$W$4)</f>
        <v>#DIV/0!</v>
      </c>
      <c r="I3" s="91" t="e">
        <f t="shared" ref="I3:I66" si="2">IF(AND(INDEX($C$2:$C$79,MATCH(ROW()-1,$E$2:$E$79,0))=0,INDEX($D$2:$D$79,MATCH(ROW()-1,$E$2:$E$79,0))=0),"",INDEX($D$2:$D$79,MATCH(ROW()-1,$E$2:$E$79,0)))</f>
        <v>#N/A</v>
      </c>
      <c r="J3" s="110" t="str" cm="1">
        <f t="array" ref="J3">IF(COUNTIF($I$2:I3, I3)=1, _xlfn.TEXTJOIN(", ", TRUE, _xlfn.UNIQUE(_xlfn._xlws.FILTER($F$2:$F$79, $I$2:$I$79=I3, ""))), "")</f>
        <v/>
      </c>
      <c r="K3" s="75" t="str" cm="1">
        <f t="array" ref="K3">IF(COUNTIF($I$2:I3,I3)=1,_xlfn.TEXTJOIN(", ",TRUE,IF($I$2:$I$79=I3,$G$2:$G$79,"")),"")</f>
        <v/>
      </c>
      <c r="L3" s="79" t="str">
        <f t="array" ref="L3">IF(COUNTIF($I$2:I3,I3)=1,I3,"")</f>
        <v/>
      </c>
      <c r="M3" s="80" t="str">
        <f t="array" ref="M3">IF(COUNTIF($H$2:H3,H3)=1,H3,"")</f>
        <v/>
      </c>
      <c r="N3" s="72"/>
      <c r="O3" s="77" t="e">
        <f t="shared" ref="O3:O6" si="3">INDEX($J$2:$J$36, MATCH(Q3, $L$2:$L$36, 0))</f>
        <v>#N/A</v>
      </c>
      <c r="P3" s="77" t="e">
        <f>INDEX($K$2:$K$36, MATCH(Q3, $L$2:$L$36, 0))</f>
        <v>#N/A</v>
      </c>
      <c r="Q3" s="77" t="e">
        <f>LARGE($L$2:$L$36, 2)</f>
        <v>#N/A</v>
      </c>
      <c r="R3" s="78" t="e">
        <f>LARGE($M$2:$M$36, 2)</f>
        <v>#DIV/0!</v>
      </c>
    </row>
    <row r="4" spans="1:18" ht="15.75" thickBot="1">
      <c r="A4" s="73" t="str" cm="1">
        <f t="array" ref="A4">INDEX(Final!$Z$1:$CY$1, LOOKUP(ROW(A3), {1,14,58,67,73,76}, {1,14,58,67,73,76}))</f>
        <v>A : Fabrics</v>
      </c>
      <c r="B4" s="73" t="str">
        <f>INDEX(Final!$Z$2:$CY$2, ROW()-ROW($B$2)+1)</f>
        <v>3.Hole, tear</v>
      </c>
      <c r="C4" s="74" t="e">
        <f>IF(ISBLANK(D4),"",D4/Final!$W$4)</f>
        <v>#DIV/0!</v>
      </c>
      <c r="D4" s="85">
        <f>INDEX(Final!$Z$4:$CY$4, ROW()-ROW($D$2)+1)</f>
        <v>0</v>
      </c>
      <c r="E4" s="87" t="e">
        <f>IF(C4="",COUNT($C$2:$C$79) + ROW()-ROW($C$2) + 1 - COUNT($C$2:C4),RANK(C4,$C$2:$C$79,0) + COUNTIF($C$2:C4,C4) - 1)</f>
        <v>#DIV/0!</v>
      </c>
      <c r="F4" s="89" t="e">
        <f t="shared" si="0"/>
        <v>#N/A</v>
      </c>
      <c r="G4" s="106" t="e">
        <f t="shared" si="1"/>
        <v>#N/A</v>
      </c>
      <c r="H4" s="108" t="e">
        <f>IF(ISBLANK(D4),"",D4/Final!$W$4)</f>
        <v>#DIV/0!</v>
      </c>
      <c r="I4" s="91" t="e">
        <f t="shared" si="2"/>
        <v>#N/A</v>
      </c>
      <c r="J4" s="110" t="str" cm="1">
        <f t="array" ref="J4">IF(COUNTIF($I$2:I4, I4)=1, _xlfn.TEXTJOIN(", ", TRUE, _xlfn.UNIQUE(_xlfn._xlws.FILTER($F$2:$F$79, $I$2:$I$79=I4, ""))), "")</f>
        <v/>
      </c>
      <c r="K4" s="75" t="str" cm="1">
        <f t="array" ref="K4">IF(COUNTIF($I$2:I4,I4)=1,_xlfn.TEXTJOIN(", ",TRUE,IF($I$2:$I$79=I4,$G$2:$G$79,"")),"")</f>
        <v/>
      </c>
      <c r="L4" s="79" t="str">
        <f t="array" ref="L4">IF(COUNTIF($I$2:I4,I4)=1,I4,"")</f>
        <v/>
      </c>
      <c r="M4" s="80" t="str">
        <f t="array" ref="M4">IF(COUNTIF($H$2:H4,H4)=1,H4,"")</f>
        <v/>
      </c>
      <c r="N4" s="72"/>
      <c r="O4" s="77" t="e">
        <f t="shared" si="3"/>
        <v>#N/A</v>
      </c>
      <c r="P4" s="77" t="e">
        <f>INDEX($K$2:$K$36, MATCH(Q4, $L$2:$L$36, 0))</f>
        <v>#N/A</v>
      </c>
      <c r="Q4" s="77" t="e">
        <f>LARGE($L$2:$L$36, 3)</f>
        <v>#N/A</v>
      </c>
      <c r="R4" s="78" t="e">
        <f>LARGE($M$2:$M$36, 3)</f>
        <v>#DIV/0!</v>
      </c>
    </row>
    <row r="5" spans="1:18" ht="15.75" thickBot="1">
      <c r="A5" s="73" t="str" cm="1">
        <f t="array" ref="A5">INDEX(Final!$Z$1:$CY$1, LOOKUP(ROW(A4), {1,14,58,67,73,76}, {1,14,58,67,73,76}))</f>
        <v>A : Fabrics</v>
      </c>
      <c r="B5" s="73" t="str">
        <f>INDEX(Final!$Z$2:$CY$2, ROW()-ROW($B$2)+1)</f>
        <v>4.NEP</v>
      </c>
      <c r="C5" s="74" t="e">
        <f>IF(ISBLANK(D5),"",D5/Final!$W$4)</f>
        <v>#DIV/0!</v>
      </c>
      <c r="D5" s="85">
        <f>INDEX(Final!$Z$4:$CY$4, ROW()-ROW($D$2)+1)</f>
        <v>0</v>
      </c>
      <c r="E5" s="87" t="e">
        <f>IF(C5="",COUNT($C$2:$C$79) + ROW()-ROW($C$2) + 1 - COUNT($C$2:C5),RANK(C5,$C$2:$C$79,0) + COUNTIF($C$2:C5,C5) - 1)</f>
        <v>#DIV/0!</v>
      </c>
      <c r="F5" s="89" t="e">
        <f t="shared" si="0"/>
        <v>#N/A</v>
      </c>
      <c r="G5" s="106" t="e">
        <f t="shared" si="1"/>
        <v>#N/A</v>
      </c>
      <c r="H5" s="108" t="e">
        <f>IF(ISBLANK(D5),"",D5/Final!$W$4)</f>
        <v>#DIV/0!</v>
      </c>
      <c r="I5" s="91" t="e">
        <f t="shared" si="2"/>
        <v>#N/A</v>
      </c>
      <c r="J5" s="110" t="str" cm="1">
        <f t="array" ref="J5">IF(COUNTIF($I$2:I5, I5)=1, _xlfn.TEXTJOIN(", ", TRUE, _xlfn.UNIQUE(_xlfn._xlws.FILTER($F$2:$F$79, $I$2:$I$79=I5, ""))), "")</f>
        <v/>
      </c>
      <c r="K5" s="75" t="str" cm="1">
        <f t="array" ref="K5">IF(COUNTIF($I$2:I5,I5)=1,_xlfn.TEXTJOIN(", ",TRUE,IF($I$2:$I$79=I5,$G$2:$G$79,"")),"")</f>
        <v/>
      </c>
      <c r="L5" s="79" t="str">
        <f t="array" ref="L5">IF(COUNTIF($I$2:I5,I5)=1,I5,"")</f>
        <v/>
      </c>
      <c r="M5" s="80" t="str">
        <f t="array" ref="M5">IF(COUNTIF($H$2:H5,H5)=1,H5,"")</f>
        <v/>
      </c>
      <c r="N5" s="72"/>
      <c r="O5" s="77" t="e">
        <f t="shared" si="3"/>
        <v>#N/A</v>
      </c>
      <c r="P5" s="77" t="e">
        <f>INDEX($K$2:$K$36, MATCH(Q5, $L$2:$L$36, 0))</f>
        <v>#N/A</v>
      </c>
      <c r="Q5" s="77" t="e">
        <f>LARGE($L$2:$L$36, 4)</f>
        <v>#N/A</v>
      </c>
      <c r="R5" s="78" t="e">
        <f>LARGE($M$2:$M$36, 4)</f>
        <v>#DIV/0!</v>
      </c>
    </row>
    <row r="6" spans="1:18" ht="15.75" thickBot="1">
      <c r="A6" s="73" t="str" cm="1">
        <f t="array" ref="A6">INDEX(Final!$Z$1:$CY$1, LOOKUP(ROW(A5), {1,14,58,67,73,76}, {1,14,58,67,73,76}))</f>
        <v>A : Fabrics</v>
      </c>
      <c r="B6" s="73" t="str">
        <f>INDEX(Final!$Z$2:$CY$2, ROW()-ROW($B$2)+1)</f>
        <v>5.SLUB</v>
      </c>
      <c r="C6" s="74" t="e">
        <f>IF(ISBLANK(D6),"",D6/Final!$W$4)</f>
        <v>#DIV/0!</v>
      </c>
      <c r="D6" s="85">
        <f>INDEX(Final!$Z$4:$CY$4, ROW()-ROW($D$2)+1)</f>
        <v>0</v>
      </c>
      <c r="E6" s="87" t="e">
        <f>IF(C6="",COUNT($C$2:$C$79) + ROW()-ROW($C$2) + 1 - COUNT($C$2:C6),RANK(C6,$C$2:$C$79,0) + COUNTIF($C$2:C6,C6) - 1)</f>
        <v>#DIV/0!</v>
      </c>
      <c r="F6" s="89" t="e">
        <f t="shared" si="0"/>
        <v>#N/A</v>
      </c>
      <c r="G6" s="106" t="e">
        <f t="shared" si="1"/>
        <v>#N/A</v>
      </c>
      <c r="H6" s="108" t="e">
        <f>IF(ISBLANK(D6),"",D6/Final!$W$4)</f>
        <v>#DIV/0!</v>
      </c>
      <c r="I6" s="91" t="e">
        <f t="shared" si="2"/>
        <v>#N/A</v>
      </c>
      <c r="J6" s="110" t="str" cm="1">
        <f t="array" ref="J6">IF(COUNTIF($I$2:I6, I6)=1, _xlfn.TEXTJOIN(", ", TRUE, _xlfn.UNIQUE(_xlfn._xlws.FILTER($F$2:$F$79, $I$2:$I$79=I6, ""))), "")</f>
        <v/>
      </c>
      <c r="K6" s="75" t="str" cm="1">
        <f t="array" ref="K6">IF(COUNTIF($I$2:I6,I6)=1,_xlfn.TEXTJOIN(", ",TRUE,IF($I$2:$I$79=I6,$G$2:$G$79,"")),"")</f>
        <v/>
      </c>
      <c r="L6" s="79" t="str">
        <f t="array" ref="L6">IF(COUNTIF($I$2:I6,I6)=1,I6,"")</f>
        <v/>
      </c>
      <c r="M6" s="80" t="str">
        <f t="array" ref="M6">IF(COUNTIF($H$2:H6,H6)=1,H6,"")</f>
        <v/>
      </c>
      <c r="N6" s="72"/>
      <c r="O6" s="77" t="e">
        <f t="shared" si="3"/>
        <v>#N/A</v>
      </c>
      <c r="P6" s="77" t="e">
        <f>INDEX($K$2:$K$36, MATCH(Q6, $L$2:$L$36, 0))</f>
        <v>#N/A</v>
      </c>
      <c r="Q6" s="77" t="e">
        <f>LARGE($L$2:$L$36, 5)</f>
        <v>#N/A</v>
      </c>
      <c r="R6" s="78" t="e">
        <f>LARGE($M$2:$M$36, 5)</f>
        <v>#DIV/0!</v>
      </c>
    </row>
    <row r="7" spans="1:18" ht="15.75" thickBot="1">
      <c r="A7" s="73" t="str" cm="1">
        <f t="array" ref="A7">INDEX(Final!$Z$1:$CY$1, LOOKUP(ROW(A6), {1,14,58,67,73,76}, {1,14,58,67,73,76}))</f>
        <v>A : Fabrics</v>
      </c>
      <c r="B7" s="73" t="str">
        <f>INDEX(Final!$Z$2:$CY$2, ROW()-ROW($B$2)+1)</f>
        <v>6.Weft defect</v>
      </c>
      <c r="C7" s="74" t="e">
        <f>IF(ISBLANK(D7),"",D7/Final!$W$4)</f>
        <v>#DIV/0!</v>
      </c>
      <c r="D7" s="85">
        <f>INDEX(Final!$Z$4:$CY$4, ROW()-ROW($D$2)+1)</f>
        <v>0</v>
      </c>
      <c r="E7" s="87" t="e">
        <f>IF(C7="",COUNT($C$2:$C$79) + ROW()-ROW($C$2) + 1 - COUNT($C$2:C7),RANK(C7,$C$2:$C$79,0) + COUNTIF($C$2:C7,C7) - 1)</f>
        <v>#DIV/0!</v>
      </c>
      <c r="F7" s="89" t="e">
        <f t="shared" si="0"/>
        <v>#N/A</v>
      </c>
      <c r="G7" s="106" t="e">
        <f t="shared" si="1"/>
        <v>#N/A</v>
      </c>
      <c r="H7" s="108" t="e">
        <f>IF(ISBLANK(D7),"",D7/Final!$W$4)</f>
        <v>#DIV/0!</v>
      </c>
      <c r="I7" s="91" t="e">
        <f t="shared" si="2"/>
        <v>#N/A</v>
      </c>
      <c r="J7" s="110" t="str" cm="1">
        <f t="array" ref="J7">IF(COUNTIF($I$2:I7, I7)=1, _xlfn.TEXTJOIN(", ", TRUE, _xlfn.UNIQUE(_xlfn._xlws.FILTER($F$2:$F$79, $I$2:$I$79=I7, ""))), "")</f>
        <v/>
      </c>
      <c r="K7" s="75" t="str" cm="1">
        <f t="array" ref="K7">IF(COUNTIF($I$2:I7,I7)=1,_xlfn.TEXTJOIN(", ",TRUE,IF($I$2:$I$79=I7,$G$2:$G$79,"")),"")</f>
        <v/>
      </c>
      <c r="L7" s="79" t="str">
        <f t="array" ref="L7">IF(COUNTIF($I$2:I7,I7)=1,I7,"")</f>
        <v/>
      </c>
      <c r="M7" s="80" t="str">
        <f t="array" ref="M7">IF(COUNTIF($H$2:H7,H7)=1,H7,"")</f>
        <v/>
      </c>
      <c r="N7" s="72"/>
      <c r="O7" s="77"/>
      <c r="P7" s="77"/>
      <c r="Q7" s="77"/>
      <c r="R7" s="81"/>
    </row>
    <row r="8" spans="1:18" ht="15.75" thickBot="1">
      <c r="A8" s="73" t="str" cm="1">
        <f t="array" ref="A8">INDEX(Final!$Z$1:$CY$1, LOOKUP(ROW(A7), {1,14,58,67,73,76}, {1,14,58,67,73,76}))</f>
        <v>A : Fabrics</v>
      </c>
      <c r="B8" s="73" t="str">
        <f>INDEX(Final!$Z$2:$CY$2, ROW()-ROW($B$2)+1)</f>
        <v>7.Unexpected things interwoven</v>
      </c>
      <c r="C8" s="74" t="e">
        <f>IF(ISBLANK(D8),"",D8/Final!$W$4)</f>
        <v>#DIV/0!</v>
      </c>
      <c r="D8" s="85">
        <f>INDEX(Final!$Z$4:$CY$4, ROW()-ROW($D$2)+1)</f>
        <v>0</v>
      </c>
      <c r="E8" s="87" t="e">
        <f>IF(C8="",COUNT($C$2:$C$79) + ROW()-ROW($C$2) + 1 - COUNT($C$2:C8),RANK(C8,$C$2:$C$79,0) + COUNTIF($C$2:C8,C8) - 1)</f>
        <v>#DIV/0!</v>
      </c>
      <c r="F8" s="89" t="e">
        <f t="shared" si="0"/>
        <v>#N/A</v>
      </c>
      <c r="G8" s="106" t="e">
        <f t="shared" si="1"/>
        <v>#N/A</v>
      </c>
      <c r="H8" s="108" t="e">
        <f>IF(ISBLANK(D8),"",D8/Final!$W$4)</f>
        <v>#DIV/0!</v>
      </c>
      <c r="I8" s="91" t="e">
        <f t="shared" si="2"/>
        <v>#N/A</v>
      </c>
      <c r="J8" s="110" t="str" cm="1">
        <f t="array" ref="J8">IF(COUNTIF($I$2:I8, I8)=1, _xlfn.TEXTJOIN(", ", TRUE, _xlfn.UNIQUE(_xlfn._xlws.FILTER($F$2:$F$79, $I$2:$I$79=I8, ""))), "")</f>
        <v/>
      </c>
      <c r="K8" s="75" t="str" cm="1">
        <f t="array" ref="K8">IF(COUNTIF($I$2:I8,I8)=1,_xlfn.TEXTJOIN(", ",TRUE,IF($I$2:$I$79=I8,$G$2:$G$79,"")),"")</f>
        <v/>
      </c>
      <c r="L8" s="79" t="str">
        <f t="array" ref="L8">IF(COUNTIF($I$2:I8,I8)=1,I8,"")</f>
        <v/>
      </c>
      <c r="M8" s="80" t="str">
        <f t="array" ref="M8">IF(COUNTIF($H$2:H8,H8)=1,H8,"")</f>
        <v/>
      </c>
      <c r="N8" s="72"/>
      <c r="O8" s="77"/>
      <c r="P8" s="77"/>
      <c r="Q8" s="77"/>
      <c r="R8" s="81"/>
    </row>
    <row r="9" spans="1:18" ht="15.75" thickBot="1">
      <c r="A9" s="73" t="str" cm="1">
        <f t="array" ref="A9">INDEX(Final!$Z$1:$CY$1, LOOKUP(ROW(A8), {1,14,58,67,73,76}, {1,14,58,67,73,76}))</f>
        <v>A : Fabrics</v>
      </c>
      <c r="B9" s="73" t="str">
        <f>INDEX(Final!$Z$2:$CY$2, ROW()-ROW($B$2)+1)</f>
        <v>8.Bowing</v>
      </c>
      <c r="C9" s="74" t="e">
        <f>IF(ISBLANK(D9),"",D9/Final!$W$4)</f>
        <v>#DIV/0!</v>
      </c>
      <c r="D9" s="85">
        <f>INDEX(Final!$Z$4:$CY$4, ROW()-ROW($D$2)+1)</f>
        <v>0</v>
      </c>
      <c r="E9" s="87" t="e">
        <f>IF(C9="",COUNT($C$2:$C$79) + ROW()-ROW($C$2) + 1 - COUNT($C$2:C9),RANK(C9,$C$2:$C$79,0) + COUNTIF($C$2:C9,C9) - 1)</f>
        <v>#DIV/0!</v>
      </c>
      <c r="F9" s="89" t="e">
        <f t="shared" si="0"/>
        <v>#N/A</v>
      </c>
      <c r="G9" s="106" t="e">
        <f t="shared" si="1"/>
        <v>#N/A</v>
      </c>
      <c r="H9" s="108" t="e">
        <f>IF(ISBLANK(D9),"",D9/Final!$W$4)</f>
        <v>#DIV/0!</v>
      </c>
      <c r="I9" s="91" t="e">
        <f t="shared" si="2"/>
        <v>#N/A</v>
      </c>
      <c r="J9" s="110" t="str" cm="1">
        <f t="array" ref="J9">IF(COUNTIF($I$2:I9, I9)=1, _xlfn.TEXTJOIN(", ", TRUE, _xlfn.UNIQUE(_xlfn._xlws.FILTER($F$2:$F$79, $I$2:$I$79=I9, ""))), "")</f>
        <v/>
      </c>
      <c r="K9" s="75" t="str" cm="1">
        <f t="array" ref="K9">IF(COUNTIF($I$2:I9,I9)=1,_xlfn.TEXTJOIN(", ",TRUE,IF($I$2:$I$79=I9,$G$2:$G$79,"")),"")</f>
        <v/>
      </c>
      <c r="L9" s="79" t="str">
        <f t="array" ref="L9">IF(COUNTIF($I$2:I9,I9)=1,I9,"")</f>
        <v/>
      </c>
      <c r="M9" s="80" t="str">
        <f t="array" ref="M9">IF(COUNTIF($H$2:H9,H9)=1,H9,"")</f>
        <v/>
      </c>
      <c r="N9" s="72"/>
      <c r="O9" s="77"/>
      <c r="P9" s="77"/>
      <c r="Q9" s="77"/>
      <c r="R9" s="81"/>
    </row>
    <row r="10" spans="1:18" ht="15.75" thickBot="1">
      <c r="A10" s="73" t="str" cm="1">
        <f t="array" ref="A10">INDEX(Final!$Z$1:$CY$1, LOOKUP(ROW(A9), {1,14,58,67,73,76}, {1,14,58,67,73,76}))</f>
        <v>A : Fabrics</v>
      </c>
      <c r="B10" s="73" t="str">
        <f>INDEX(Final!$Z$2:$CY$2, ROW()-ROW($B$2)+1)</f>
        <v>9.Odor</v>
      </c>
      <c r="C10" s="74" t="e">
        <f>IF(ISBLANK(D10),"",D10/Final!$W$4)</f>
        <v>#DIV/0!</v>
      </c>
      <c r="D10" s="85">
        <f>INDEX(Final!$Z$4:$CY$4, ROW()-ROW($D$2)+1)</f>
        <v>0</v>
      </c>
      <c r="E10" s="87" t="e">
        <f>IF(C10="",COUNT($C$2:$C$79) + ROW()-ROW($C$2) + 1 - COUNT($C$2:C10),RANK(C10,$C$2:$C$79,0) + COUNTIF($C$2:C10,C10) - 1)</f>
        <v>#DIV/0!</v>
      </c>
      <c r="F10" s="89" t="e">
        <f t="shared" si="0"/>
        <v>#N/A</v>
      </c>
      <c r="G10" s="106" t="e">
        <f t="shared" si="1"/>
        <v>#N/A</v>
      </c>
      <c r="H10" s="108" t="e">
        <f>IF(ISBLANK(D10),"",D10/Final!$W$4)</f>
        <v>#DIV/0!</v>
      </c>
      <c r="I10" s="91" t="e">
        <f t="shared" si="2"/>
        <v>#N/A</v>
      </c>
      <c r="J10" s="110" t="str" cm="1">
        <f t="array" ref="J10">IF(COUNTIF($I$2:I10, I10)=1, _xlfn.TEXTJOIN(", ", TRUE, _xlfn.UNIQUE(_xlfn._xlws.FILTER($F$2:$F$79, $I$2:$I$79=I10, ""))), "")</f>
        <v/>
      </c>
      <c r="K10" s="75" t="str" cm="1">
        <f t="array" ref="K10">IF(COUNTIF($I$2:I10,I10)=1,_xlfn.TEXTJOIN(", ",TRUE,IF($I$2:$I$79=I10,$G$2:$G$79,"")),"")</f>
        <v/>
      </c>
      <c r="L10" s="79" t="str">
        <f t="array" ref="L10">IF(COUNTIF($I$2:I10,I10)=1,I10,"")</f>
        <v/>
      </c>
      <c r="M10" s="80" t="str">
        <f t="array" ref="M10">IF(COUNTIF($H$2:H10,H10)=1,H10,"")</f>
        <v/>
      </c>
      <c r="N10" s="72"/>
      <c r="O10" s="77"/>
      <c r="P10" s="77"/>
      <c r="Q10" s="77"/>
      <c r="R10" s="81"/>
    </row>
    <row r="11" spans="1:18" ht="15.75" thickBot="1">
      <c r="A11" s="73" t="str" cm="1">
        <f t="array" ref="A11">INDEX(Final!$Z$1:$CY$1, LOOKUP(ROW(A10), {1,14,58,67,73,76}, {1,14,58,67,73,76}))</f>
        <v>A : Fabrics</v>
      </c>
      <c r="B11" s="73" t="str">
        <f>INDEX(Final!$Z$2:$CY$2, ROW()-ROW($B$2)+1)</f>
        <v>10.Uneven dyeing</v>
      </c>
      <c r="C11" s="74" t="e">
        <f>IF(ISBLANK(D11),"",D11/Final!$W$4)</f>
        <v>#DIV/0!</v>
      </c>
      <c r="D11" s="85">
        <f>INDEX(Final!$Z$4:$CY$4, ROW()-ROW($D$2)+1)</f>
        <v>0</v>
      </c>
      <c r="E11" s="87" t="e">
        <f>IF(C11="",COUNT($C$2:$C$79) + ROW()-ROW($C$2) + 1 - COUNT($C$2:C11),RANK(C11,$C$2:$C$79,0) + COUNTIF($C$2:C11,C11) - 1)</f>
        <v>#DIV/0!</v>
      </c>
      <c r="F11" s="89" t="e">
        <f t="shared" si="0"/>
        <v>#N/A</v>
      </c>
      <c r="G11" s="106" t="e">
        <f t="shared" si="1"/>
        <v>#N/A</v>
      </c>
      <c r="H11" s="108" t="e">
        <f>IF(ISBLANK(D11),"",D11/Final!$W$4)</f>
        <v>#DIV/0!</v>
      </c>
      <c r="I11" s="91" t="e">
        <f t="shared" si="2"/>
        <v>#N/A</v>
      </c>
      <c r="J11" s="110" t="str" cm="1">
        <f t="array" ref="J11">IF(COUNTIF($I$2:I11, I11)=1, _xlfn.TEXTJOIN(", ", TRUE, _xlfn.UNIQUE(_xlfn._xlws.FILTER($F$2:$F$79, $I$2:$I$79=I11, ""))), "")</f>
        <v/>
      </c>
      <c r="K11" s="75" t="str" cm="1">
        <f t="array" ref="K11">IF(COUNTIF($I$2:I11,I11)=1,_xlfn.TEXTJOIN(", ",TRUE,IF($I$2:$I$79=I11,$G$2:$G$79,"")),"")</f>
        <v/>
      </c>
      <c r="L11" s="79" t="str">
        <f t="array" ref="L11">IF(COUNTIF($I$2:I11,I11)=1,I11,"")</f>
        <v/>
      </c>
      <c r="M11" s="80" t="str">
        <f t="array" ref="M11">IF(COUNTIF($H$2:H11,H11)=1,H11,"")</f>
        <v/>
      </c>
      <c r="N11" s="72"/>
      <c r="O11" s="77"/>
      <c r="P11" s="77"/>
      <c r="Q11" s="77"/>
      <c r="R11" s="81"/>
    </row>
    <row r="12" spans="1:18" ht="15.75" thickBot="1">
      <c r="A12" s="73" t="str" cm="1">
        <f t="array" ref="A12">INDEX(Final!$Z$1:$CY$1, LOOKUP(ROW(A11), {1,14,58,67,73,76}, {1,14,58,67,73,76}))</f>
        <v>A : Fabrics</v>
      </c>
      <c r="B12" s="73" t="str">
        <f>INDEX(Final!$Z$2:$CY$2, ROW()-ROW($B$2)+1)</f>
        <v>11.Texture, surface defect</v>
      </c>
      <c r="C12" s="74" t="e">
        <f>IF(ISBLANK(D12),"",D12/Final!$W$4)</f>
        <v>#DIV/0!</v>
      </c>
      <c r="D12" s="85">
        <f>INDEX(Final!$Z$4:$CY$4, ROW()-ROW($D$2)+1)</f>
        <v>0</v>
      </c>
      <c r="E12" s="87" t="e">
        <f>IF(C12="",COUNT($C$2:$C$79) + ROW()-ROW($C$2) + 1 - COUNT($C$2:C12),RANK(C12,$C$2:$C$79,0) + COUNTIF($C$2:C12,C12) - 1)</f>
        <v>#DIV/0!</v>
      </c>
      <c r="F12" s="89" t="e">
        <f t="shared" si="0"/>
        <v>#N/A</v>
      </c>
      <c r="G12" s="106" t="e">
        <f t="shared" si="1"/>
        <v>#N/A</v>
      </c>
      <c r="H12" s="108" t="e">
        <f>IF(ISBLANK(D12),"",D12/Final!$W$4)</f>
        <v>#DIV/0!</v>
      </c>
      <c r="I12" s="91" t="e">
        <f t="shared" si="2"/>
        <v>#N/A</v>
      </c>
      <c r="J12" s="110" t="str" cm="1">
        <f t="array" ref="J12">IF(COUNTIF($I$2:I12, I12)=1, _xlfn.TEXTJOIN(", ", TRUE, _xlfn.UNIQUE(_xlfn._xlws.FILTER($F$2:$F$79, $I$2:$I$79=I12, ""))), "")</f>
        <v/>
      </c>
      <c r="K12" s="75" t="str" cm="1">
        <f t="array" ref="K12">IF(COUNTIF($I$2:I12,I12)=1,_xlfn.TEXTJOIN(", ",TRUE,IF($I$2:$I$79=I12,$G$2:$G$79,"")),"")</f>
        <v/>
      </c>
      <c r="L12" s="79" t="str">
        <f t="array" ref="L12">IF(COUNTIF($I$2:I12,I12)=1,I12,"")</f>
        <v/>
      </c>
      <c r="M12" s="80" t="str">
        <f t="array" ref="M12">IF(COUNTIF($H$2:H12,H12)=1,H12,"")</f>
        <v/>
      </c>
      <c r="N12" s="72"/>
      <c r="O12" s="77"/>
      <c r="P12" s="77"/>
      <c r="Q12" s="77"/>
      <c r="R12" s="81"/>
    </row>
    <row r="13" spans="1:18" ht="15.75" thickBot="1">
      <c r="A13" s="73" t="str" cm="1">
        <f t="array" ref="A13">INDEX(Final!$Z$1:$CY$1, LOOKUP(ROW(A12), {1,14,58,67,73,76}, {1,14,58,67,73,76}))</f>
        <v>A : Fabrics</v>
      </c>
      <c r="B13" s="73" t="str">
        <f>INDEX(Final!$Z$2:$CY$2, ROW()-ROW($B$2)+1)</f>
        <v>12.Warp and weft defect</v>
      </c>
      <c r="C13" s="74" t="e">
        <f>IF(ISBLANK(D13),"",D13/Final!$W$4)</f>
        <v>#DIV/0!</v>
      </c>
      <c r="D13" s="85">
        <f>INDEX(Final!$Z$4:$CY$4, ROW()-ROW($D$2)+1)</f>
        <v>0</v>
      </c>
      <c r="E13" s="87" t="e">
        <f>IF(C13="",COUNT($C$2:$C$79) + ROW()-ROW($C$2) + 1 - COUNT($C$2:C13),RANK(C13,$C$2:$C$79,0) + COUNTIF($C$2:C13,C13) - 1)</f>
        <v>#DIV/0!</v>
      </c>
      <c r="F13" s="89" t="e">
        <f t="shared" si="0"/>
        <v>#N/A</v>
      </c>
      <c r="G13" s="106" t="e">
        <f t="shared" si="1"/>
        <v>#N/A</v>
      </c>
      <c r="H13" s="108" t="e">
        <f>IF(ISBLANK(D13),"",D13/Final!$W$4)</f>
        <v>#DIV/0!</v>
      </c>
      <c r="I13" s="91" t="e">
        <f t="shared" si="2"/>
        <v>#N/A</v>
      </c>
      <c r="J13" s="110" t="str" cm="1">
        <f t="array" ref="J13">IF(COUNTIF($I$2:I13, I13)=1, _xlfn.TEXTJOIN(", ", TRUE, _xlfn.UNIQUE(_xlfn._xlws.FILTER($F$2:$F$79, $I$2:$I$79=I13, ""))), "")</f>
        <v/>
      </c>
      <c r="K13" s="75" t="str" cm="1">
        <f t="array" ref="K13">IF(COUNTIF($I$2:I13,I13)=1,_xlfn.TEXTJOIN(", ",TRUE,IF($I$2:$I$79=I13,$G$2:$G$79,"")),"")</f>
        <v/>
      </c>
      <c r="L13" s="79" t="str">
        <f t="array" ref="L13">IF(COUNTIF($I$2:I13,I13)=1,I13,"")</f>
        <v/>
      </c>
      <c r="M13" s="80" t="str">
        <f t="array" ref="M13">IF(COUNTIF($H$2:H13,H13)=1,H13,"")</f>
        <v/>
      </c>
      <c r="N13" s="72"/>
      <c r="O13" s="77"/>
      <c r="P13" s="77"/>
      <c r="Q13" s="77"/>
      <c r="R13" s="81"/>
    </row>
    <row r="14" spans="1:18" ht="15.75" thickBot="1">
      <c r="A14" s="73" t="str" cm="1">
        <f t="array" ref="A14">INDEX(Final!$Z$1:$CY$1, LOOKUP(ROW(A13), {1,14,58,67,73,76}, {1,14,58,67,73,76}))</f>
        <v>A : Fabrics</v>
      </c>
      <c r="B14" s="73" t="str">
        <f>INDEX(Final!$Z$2:$CY$2, ROW()-ROW($B$2)+1)</f>
        <v>13.Yarn severance</v>
      </c>
      <c r="C14" s="74" t="e">
        <f>IF(ISBLANK(D14),"",D14/Final!$W$4)</f>
        <v>#DIV/0!</v>
      </c>
      <c r="D14" s="85">
        <f>INDEX(Final!$Z$4:$CY$4, ROW()-ROW($D$2)+1)</f>
        <v>0</v>
      </c>
      <c r="E14" s="87" t="e">
        <f>IF(C14="",COUNT($C$2:$C$79) + ROW()-ROW($C$2) + 1 - COUNT($C$2:C14),RANK(C14,$C$2:$C$79,0) + COUNTIF($C$2:C14,C14) - 1)</f>
        <v>#DIV/0!</v>
      </c>
      <c r="F14" s="89" t="e">
        <f t="shared" si="0"/>
        <v>#N/A</v>
      </c>
      <c r="G14" s="106" t="e">
        <f t="shared" si="1"/>
        <v>#N/A</v>
      </c>
      <c r="H14" s="108" t="e">
        <f>IF(ISBLANK(D14),"",D14/Final!$W$4)</f>
        <v>#DIV/0!</v>
      </c>
      <c r="I14" s="91" t="e">
        <f t="shared" si="2"/>
        <v>#N/A</v>
      </c>
      <c r="J14" s="110" t="str" cm="1">
        <f t="array" ref="J14">IF(COUNTIF($I$2:I14, I14)=1, _xlfn.TEXTJOIN(", ", TRUE, _xlfn.UNIQUE(_xlfn._xlws.FILTER($F$2:$F$79, $I$2:$I$79=I14, ""))), "")</f>
        <v/>
      </c>
      <c r="K14" s="75" t="str" cm="1">
        <f t="array" ref="K14">IF(COUNTIF($I$2:I14,I14)=1,_xlfn.TEXTJOIN(", ",TRUE,IF($I$2:$I$79=I14,$G$2:$G$79,"")),"")</f>
        <v/>
      </c>
      <c r="L14" s="79" t="str">
        <f t="array" ref="L14">IF(COUNTIF($I$2:I14,I14)=1,I14,"")</f>
        <v/>
      </c>
      <c r="M14" s="80" t="str">
        <f t="array" ref="M14">IF(COUNTIF($H$2:H14,H14)=1,H14,"")</f>
        <v/>
      </c>
      <c r="N14" s="72"/>
      <c r="O14" s="77"/>
      <c r="P14" s="77"/>
      <c r="Q14" s="77"/>
      <c r="R14" s="81"/>
    </row>
    <row r="15" spans="1:18" ht="15.75" thickBot="1">
      <c r="A15" s="73" t="str" cm="1">
        <f t="array" ref="A15">INDEX(Final!$Z$1:$CY$1, LOOKUP(ROW(A14), {1,14,58,67,73,76}, {1,14,58,67,73,76}))</f>
        <v>B : Sewing</v>
      </c>
      <c r="B15" s="73" t="str">
        <f>INDEX(Final!$Z$2:$CY$2, ROW()-ROW($B$2)+1)</f>
        <v>1.Hue difference</v>
      </c>
      <c r="C15" s="74" t="e">
        <f>IF(ISBLANK(D15),"",D15/Final!$W$4)</f>
        <v>#DIV/0!</v>
      </c>
      <c r="D15" s="85">
        <f>INDEX(Final!$Z$4:$CY$4, ROW()-ROW($D$2)+1)</f>
        <v>0</v>
      </c>
      <c r="E15" s="87" t="e">
        <f>IF(C15="",COUNT($C$2:$C$79) + ROW()-ROW($C$2) + 1 - COUNT($C$2:C15),RANK(C15,$C$2:$C$79,0) + COUNTIF($C$2:C15,C15) - 1)</f>
        <v>#DIV/0!</v>
      </c>
      <c r="F15" s="89" t="e">
        <f t="shared" si="0"/>
        <v>#N/A</v>
      </c>
      <c r="G15" s="106" t="e">
        <f t="shared" si="1"/>
        <v>#N/A</v>
      </c>
      <c r="H15" s="108" t="e">
        <f>IF(ISBLANK(D15),"",D15/Final!$W$4)</f>
        <v>#DIV/0!</v>
      </c>
      <c r="I15" s="91" t="e">
        <f t="shared" si="2"/>
        <v>#N/A</v>
      </c>
      <c r="J15" s="110" t="str" cm="1">
        <f t="array" ref="J15">IF(COUNTIF($I$2:I15, I15)=1, _xlfn.TEXTJOIN(", ", TRUE, _xlfn.UNIQUE(_xlfn._xlws.FILTER($F$2:$F$79, $I$2:$I$79=I15, ""))), "")</f>
        <v/>
      </c>
      <c r="K15" s="75" t="str" cm="1">
        <f t="array" ref="K15">IF(COUNTIF($I$2:I15,I15)=1,_xlfn.TEXTJOIN(", ",TRUE,IF($I$2:$I$79=I15,$G$2:$G$79,"")),"")</f>
        <v/>
      </c>
      <c r="L15" s="79" t="str">
        <f t="array" ref="L15">IF(COUNTIF($I$2:I15,I15)=1,I15,"")</f>
        <v/>
      </c>
      <c r="M15" s="80" t="str">
        <f t="array" ref="M15">IF(COUNTIF($H$2:H15,H15)=1,H15,"")</f>
        <v/>
      </c>
      <c r="N15" s="72"/>
      <c r="O15" s="77"/>
      <c r="P15" s="77"/>
      <c r="Q15" s="77"/>
      <c r="R15" s="81"/>
    </row>
    <row r="16" spans="1:18" ht="15.75" thickBot="1">
      <c r="A16" s="73" t="str" cm="1">
        <f t="array" ref="A16">INDEX(Final!$Z$1:$CY$1, LOOKUP(ROW(A15), {1,14,58,67,73,76}, {1,14,58,67,73,76}))</f>
        <v>B : Sewing</v>
      </c>
      <c r="B16" s="73" t="str">
        <f>INDEX(Final!$Z$2:$CY$2, ROW()-ROW($B$2)+1)</f>
        <v>2.Unevenness</v>
      </c>
      <c r="C16" s="74" t="e">
        <f>IF(ISBLANK(D16),"",D16/Final!$W$4)</f>
        <v>#DIV/0!</v>
      </c>
      <c r="D16" s="85">
        <f>INDEX(Final!$Z$4:$CY$4, ROW()-ROW($D$2)+1)</f>
        <v>0</v>
      </c>
      <c r="E16" s="87" t="e">
        <f>IF(C16="",COUNT($C$2:$C$79) + ROW()-ROW($C$2) + 1 - COUNT($C$2:C16),RANK(C16,$C$2:$C$79,0) + COUNTIF($C$2:C16,C16) - 1)</f>
        <v>#DIV/0!</v>
      </c>
      <c r="F16" s="89" t="e">
        <f t="shared" si="0"/>
        <v>#N/A</v>
      </c>
      <c r="G16" s="106" t="e">
        <f t="shared" si="1"/>
        <v>#N/A</v>
      </c>
      <c r="H16" s="108" t="e">
        <f>IF(ISBLANK(D16),"",D16/Final!$W$4)</f>
        <v>#DIV/0!</v>
      </c>
      <c r="I16" s="91" t="e">
        <f t="shared" si="2"/>
        <v>#N/A</v>
      </c>
      <c r="J16" s="110" t="str" cm="1">
        <f t="array" ref="J16">IF(COUNTIF($I$2:I16, I16)=1, _xlfn.TEXTJOIN(", ", TRUE, _xlfn.UNIQUE(_xlfn._xlws.FILTER($F$2:$F$79, $I$2:$I$79=I16, ""))), "")</f>
        <v/>
      </c>
      <c r="K16" s="75" t="str" cm="1">
        <f t="array" ref="K16">IF(COUNTIF($I$2:I16,I16)=1,_xlfn.TEXTJOIN(", ",TRUE,IF($I$2:$I$79=I16,$G$2:$G$79,"")),"")</f>
        <v/>
      </c>
      <c r="L16" s="79" t="str">
        <f t="array" ref="L16">IF(COUNTIF($I$2:I16,I16)=1,I16,"")</f>
        <v/>
      </c>
      <c r="M16" s="80" t="str">
        <f t="array" ref="M16">IF(COUNTIF($H$2:H16,H16)=1,H16,"")</f>
        <v/>
      </c>
      <c r="N16" s="72"/>
      <c r="O16" s="77"/>
      <c r="P16" s="77"/>
      <c r="Q16" s="77"/>
      <c r="R16" s="81"/>
    </row>
    <row r="17" spans="1:18" ht="15.75" thickBot="1">
      <c r="A17" s="73" t="str" cm="1">
        <f t="array" ref="A17">INDEX(Final!$Z$1:$CY$1, LOOKUP(ROW(A16), {1,14,58,67,73,76}, {1,14,58,67,73,76}))</f>
        <v>B : Sewing</v>
      </c>
      <c r="B17" s="73" t="str">
        <f>INDEX(Final!$Z$2:$CY$2, ROW()-ROW($B$2)+1)</f>
        <v>3.Pieces not symmetrical</v>
      </c>
      <c r="C17" s="74" t="e">
        <f>IF(ISBLANK(D17),"",D17/Final!$W$4)</f>
        <v>#DIV/0!</v>
      </c>
      <c r="D17" s="85">
        <f>INDEX(Final!$Z$4:$CY$4, ROW()-ROW($D$2)+1)</f>
        <v>0</v>
      </c>
      <c r="E17" s="87" t="e">
        <f>IF(C17="",COUNT($C$2:$C$79) + ROW()-ROW($C$2) + 1 - COUNT($C$2:C17),RANK(C17,$C$2:$C$79,0) + COUNTIF($C$2:C17,C17) - 1)</f>
        <v>#DIV/0!</v>
      </c>
      <c r="F17" s="89" t="e">
        <f t="shared" si="0"/>
        <v>#N/A</v>
      </c>
      <c r="G17" s="106" t="e">
        <f t="shared" si="1"/>
        <v>#N/A</v>
      </c>
      <c r="H17" s="108" t="e">
        <f>IF(ISBLANK(D17),"",D17/Final!$W$4)</f>
        <v>#DIV/0!</v>
      </c>
      <c r="I17" s="91" t="e">
        <f t="shared" si="2"/>
        <v>#N/A</v>
      </c>
      <c r="J17" s="110" t="str" cm="1">
        <f t="array" ref="J17">IF(COUNTIF($I$2:I17, I17)=1, _xlfn.TEXTJOIN(", ", TRUE, _xlfn.UNIQUE(_xlfn._xlws.FILTER($F$2:$F$79, $I$2:$I$79=I17, ""))), "")</f>
        <v/>
      </c>
      <c r="K17" s="75" t="str" cm="1">
        <f t="array" ref="K17">IF(COUNTIF($I$2:I17,I17)=1,_xlfn.TEXTJOIN(", ",TRUE,IF($I$2:$I$79=I17,$G$2:$G$79,"")),"")</f>
        <v/>
      </c>
      <c r="L17" s="79" t="str">
        <f t="array" ref="L17">IF(COUNTIF($I$2:I17,I17)=1,I17,"")</f>
        <v/>
      </c>
      <c r="M17" s="80" t="str">
        <f t="array" ref="M17">IF(COUNTIF($H$2:H17,H17)=1,H17,"")</f>
        <v/>
      </c>
      <c r="N17" s="72"/>
      <c r="O17" s="77"/>
      <c r="P17" s="77"/>
      <c r="Q17" s="77"/>
      <c r="R17" s="81"/>
    </row>
    <row r="18" spans="1:18" ht="15.75" thickBot="1">
      <c r="A18" s="73" t="str" cm="1">
        <f t="array" ref="A18">INDEX(Final!$Z$1:$CY$1, LOOKUP(ROW(A17), {1,14,58,67,73,76}, {1,14,58,67,73,76}))</f>
        <v>B : Sewing</v>
      </c>
      <c r="B18" s="73" t="str">
        <f>INDEX(Final!$Z$2:$CY$2, ROW()-ROW($B$2)+1)</f>
        <v>4.Deformation (Defect in shape)</v>
      </c>
      <c r="C18" s="74" t="e">
        <f>IF(ISBLANK(D18),"",D18/Final!$W$4)</f>
        <v>#DIV/0!</v>
      </c>
      <c r="D18" s="85">
        <f>INDEX(Final!$Z$4:$CY$4, ROW()-ROW($D$2)+1)</f>
        <v>0</v>
      </c>
      <c r="E18" s="87" t="e">
        <f>IF(C18="",COUNT($C$2:$C$79) + ROW()-ROW($C$2) + 1 - COUNT($C$2:C18),RANK(C18,$C$2:$C$79,0) + COUNTIF($C$2:C18,C18) - 1)</f>
        <v>#DIV/0!</v>
      </c>
      <c r="F18" s="89" t="e">
        <f t="shared" si="0"/>
        <v>#N/A</v>
      </c>
      <c r="G18" s="106" t="e">
        <f t="shared" si="1"/>
        <v>#N/A</v>
      </c>
      <c r="H18" s="108" t="e">
        <f>IF(ISBLANK(D18),"",D18/Final!$W$4)</f>
        <v>#DIV/0!</v>
      </c>
      <c r="I18" s="91" t="e">
        <f t="shared" si="2"/>
        <v>#N/A</v>
      </c>
      <c r="J18" s="110" t="str" cm="1">
        <f t="array" ref="J18">IF(COUNTIF($I$2:I18, I18)=1, _xlfn.TEXTJOIN(", ", TRUE, _xlfn.UNIQUE(_xlfn._xlws.FILTER($F$2:$F$79, $I$2:$I$79=I18, ""))), "")</f>
        <v/>
      </c>
      <c r="K18" s="75" t="str" cm="1">
        <f t="array" ref="K18">IF(COUNTIF($I$2:I18,I18)=1,_xlfn.TEXTJOIN(", ",TRUE,IF($I$2:$I$79=I18,$G$2:$G$79,"")),"")</f>
        <v/>
      </c>
      <c r="L18" s="79" t="str">
        <f t="array" ref="L18">IF(COUNTIF($I$2:I18,I18)=1,I18,"")</f>
        <v/>
      </c>
      <c r="M18" s="80" t="str">
        <f t="array" ref="M18">IF(COUNTIF($H$2:H18,H18)=1,H18,"")</f>
        <v/>
      </c>
      <c r="N18" s="72"/>
      <c r="O18" s="77"/>
      <c r="P18" s="77"/>
      <c r="Q18" s="77"/>
      <c r="R18" s="81"/>
    </row>
    <row r="19" spans="1:18" ht="15.75" thickBot="1">
      <c r="A19" s="73" t="str" cm="1">
        <f t="array" ref="A19">INDEX(Final!$Z$1:$CY$1, LOOKUP(ROW(A18), {1,14,58,67,73,76}, {1,14,58,67,73,76}))</f>
        <v>B : Sewing</v>
      </c>
      <c r="B19" s="73" t="str">
        <f>INDEX(Final!$Z$2:$CY$2, ROW()-ROW($B$2)+1)</f>
        <v>5.Tight or loose part of fabric</v>
      </c>
      <c r="C19" s="74" t="e">
        <f>IF(ISBLANK(D19),"",D19/Final!$W$4)</f>
        <v>#DIV/0!</v>
      </c>
      <c r="D19" s="85">
        <f>INDEX(Final!$Z$4:$CY$4, ROW()-ROW($D$2)+1)</f>
        <v>0</v>
      </c>
      <c r="E19" s="87" t="e">
        <f>IF(C19="",COUNT($C$2:$C$79) + ROW()-ROW($C$2) + 1 - COUNT($C$2:C19),RANK(C19,$C$2:$C$79,0) + COUNTIF($C$2:C19,C19) - 1)</f>
        <v>#DIV/0!</v>
      </c>
      <c r="F19" s="89" t="e">
        <f t="shared" si="0"/>
        <v>#N/A</v>
      </c>
      <c r="G19" s="106" t="e">
        <f t="shared" si="1"/>
        <v>#N/A</v>
      </c>
      <c r="H19" s="108" t="e">
        <f>IF(ISBLANK(D19),"",D19/Final!$W$4)</f>
        <v>#DIV/0!</v>
      </c>
      <c r="I19" s="91" t="e">
        <f t="shared" si="2"/>
        <v>#N/A</v>
      </c>
      <c r="J19" s="110" t="str" cm="1">
        <f t="array" ref="J19">IF(COUNTIF($I$2:I19, I19)=1, _xlfn.TEXTJOIN(", ", TRUE, _xlfn.UNIQUE(_xlfn._xlws.FILTER($F$2:$F$79, $I$2:$I$79=I19, ""))), "")</f>
        <v/>
      </c>
      <c r="K19" s="75" t="str" cm="1">
        <f t="array" ref="K19">IF(COUNTIF($I$2:I19,I19)=1,_xlfn.TEXTJOIN(", ",TRUE,IF($I$2:$I$79=I19,$G$2:$G$79,"")),"")</f>
        <v/>
      </c>
      <c r="L19" s="79" t="str">
        <f t="array" ref="L19">IF(COUNTIF($I$2:I19,I19)=1,I19,"")</f>
        <v/>
      </c>
      <c r="M19" s="80" t="str">
        <f t="array" ref="M19">IF(COUNTIF($H$2:H19,H19)=1,H19,"")</f>
        <v/>
      </c>
      <c r="N19" s="72"/>
      <c r="O19" s="77"/>
      <c r="P19" s="77"/>
      <c r="Q19" s="77"/>
      <c r="R19" s="81"/>
    </row>
    <row r="20" spans="1:18" ht="15.75" thickBot="1">
      <c r="A20" s="73" t="str" cm="1">
        <f t="array" ref="A20">INDEX(Final!$Z$1:$CY$1, LOOKUP(ROW(A19), {1,14,58,67,73,76}, {1,14,58,67,73,76}))</f>
        <v>B : Sewing</v>
      </c>
      <c r="B20" s="73" t="str">
        <f>INDEX(Final!$Z$2:$CY$2, ROW()-ROW($B$2)+1)</f>
        <v>6.Uneven seam</v>
      </c>
      <c r="C20" s="74" t="e">
        <f>IF(ISBLANK(D20),"",D20/Final!$W$4)</f>
        <v>#DIV/0!</v>
      </c>
      <c r="D20" s="85">
        <f>INDEX(Final!$Z$4:$CY$4, ROW()-ROW($D$2)+1)</f>
        <v>0</v>
      </c>
      <c r="E20" s="87" t="e">
        <f>IF(C20="",COUNT($C$2:$C$79) + ROW()-ROW($C$2) + 1 - COUNT($C$2:C20),RANK(C20,$C$2:$C$79,0) + COUNTIF($C$2:C20,C20) - 1)</f>
        <v>#DIV/0!</v>
      </c>
      <c r="F20" s="89" t="e">
        <f t="shared" si="0"/>
        <v>#N/A</v>
      </c>
      <c r="G20" s="106" t="e">
        <f t="shared" si="1"/>
        <v>#N/A</v>
      </c>
      <c r="H20" s="108" t="e">
        <f>IF(ISBLANK(D20),"",D20/Final!$W$4)</f>
        <v>#DIV/0!</v>
      </c>
      <c r="I20" s="91" t="e">
        <f t="shared" si="2"/>
        <v>#N/A</v>
      </c>
      <c r="J20" s="110" t="str" cm="1">
        <f t="array" ref="J20">IF(COUNTIF($I$2:I20, I20)=1, _xlfn.TEXTJOIN(", ", TRUE, _xlfn.UNIQUE(_xlfn._xlws.FILTER($F$2:$F$79, $I$2:$I$79=I20, ""))), "")</f>
        <v/>
      </c>
      <c r="K20" s="75" t="str" cm="1">
        <f t="array" ref="K20">IF(COUNTIF($I$2:I20,I20)=1,_xlfn.TEXTJOIN(", ",TRUE,IF($I$2:$I$79=I20,$G$2:$G$79,"")),"")</f>
        <v/>
      </c>
      <c r="L20" s="79" t="str">
        <f t="array" ref="L20">IF(COUNTIF($I$2:I20,I20)=1,I20,"")</f>
        <v/>
      </c>
      <c r="M20" s="80" t="str">
        <f t="array" ref="M20">IF(COUNTIF($H$2:H20,H20)=1,H20,"")</f>
        <v/>
      </c>
      <c r="N20" s="72"/>
      <c r="O20" s="77"/>
      <c r="P20" s="77"/>
      <c r="Q20" s="77"/>
      <c r="R20" s="81"/>
    </row>
    <row r="21" spans="1:18" ht="15.75" thickBot="1">
      <c r="A21" s="73" t="str" cm="1">
        <f t="array" ref="A21">INDEX(Final!$Z$1:$CY$1, LOOKUP(ROW(A20), {1,14,58,67,73,76}, {1,14,58,67,73,76}))</f>
        <v>B : Sewing</v>
      </c>
      <c r="B21" s="73" t="str">
        <f>INDEX(Final!$Z$2:$CY$2, ROW()-ROW($B$2)+1)</f>
        <v>7.Spiralty, wrinkle</v>
      </c>
      <c r="C21" s="74" t="e">
        <f>IF(ISBLANK(D21),"",D21/Final!$W$4)</f>
        <v>#DIV/0!</v>
      </c>
      <c r="D21" s="85">
        <f>INDEX(Final!$Z$4:$CY$4, ROW()-ROW($D$2)+1)</f>
        <v>0</v>
      </c>
      <c r="E21" s="87" t="e">
        <f>IF(C21="",COUNT($C$2:$C$79) + ROW()-ROW($C$2) + 1 - COUNT($C$2:C21),RANK(C21,$C$2:$C$79,0) + COUNTIF($C$2:C21,C21) - 1)</f>
        <v>#DIV/0!</v>
      </c>
      <c r="F21" s="89" t="e">
        <f t="shared" si="0"/>
        <v>#N/A</v>
      </c>
      <c r="G21" s="106" t="e">
        <f t="shared" si="1"/>
        <v>#N/A</v>
      </c>
      <c r="H21" s="108" t="e">
        <f>IF(ISBLANK(D21),"",D21/Final!$W$4)</f>
        <v>#DIV/0!</v>
      </c>
      <c r="I21" s="91" t="e">
        <f t="shared" si="2"/>
        <v>#N/A</v>
      </c>
      <c r="J21" s="110" t="str" cm="1">
        <f t="array" ref="J21">IF(COUNTIF($I$2:I21, I21)=1, _xlfn.TEXTJOIN(", ", TRUE, _xlfn.UNIQUE(_xlfn._xlws.FILTER($F$2:$F$79, $I$2:$I$79=I21, ""))), "")</f>
        <v/>
      </c>
      <c r="K21" s="75" t="str" cm="1">
        <f t="array" ref="K21">IF(COUNTIF($I$2:I21,I21)=1,_xlfn.TEXTJOIN(", ",TRUE,IF($I$2:$I$79=I21,$G$2:$G$79,"")),"")</f>
        <v/>
      </c>
      <c r="L21" s="79" t="str">
        <f t="array" ref="L21">IF(COUNTIF($I$2:I21,I21)=1,I21,"")</f>
        <v/>
      </c>
      <c r="M21" s="80" t="str">
        <f t="array" ref="M21">IF(COUNTIF($H$2:H21,H21)=1,H21,"")</f>
        <v/>
      </c>
      <c r="N21" s="72"/>
      <c r="O21" s="77"/>
      <c r="P21" s="77"/>
      <c r="Q21" s="77"/>
      <c r="R21" s="81"/>
    </row>
    <row r="22" spans="1:18" ht="15.75" thickBot="1">
      <c r="A22" s="73" t="str" cm="1">
        <f t="array" ref="A22">INDEX(Final!$Z$1:$CY$1, LOOKUP(ROW(A21), {1,14,58,67,73,76}, {1,14,58,67,73,76}))</f>
        <v>B : Sewing</v>
      </c>
      <c r="B22" s="73" t="str">
        <f>INDEX(Final!$Z$2:$CY$2, ROW()-ROW($B$2)+1)</f>
        <v>8.PUCKERING</v>
      </c>
      <c r="C22" s="74" t="e">
        <f>IF(ISBLANK(D22),"",D22/Final!$W$4)</f>
        <v>#DIV/0!</v>
      </c>
      <c r="D22" s="85">
        <f>INDEX(Final!$Z$4:$CY$4, ROW()-ROW($D$2)+1)</f>
        <v>0</v>
      </c>
      <c r="E22" s="87" t="e">
        <f>IF(C22="",COUNT($C$2:$C$79) + ROW()-ROW($C$2) + 1 - COUNT($C$2:C22),RANK(C22,$C$2:$C$79,0) + COUNTIF($C$2:C22,C22) - 1)</f>
        <v>#DIV/0!</v>
      </c>
      <c r="F22" s="89" t="e">
        <f t="shared" si="0"/>
        <v>#N/A</v>
      </c>
      <c r="G22" s="106" t="e">
        <f t="shared" si="1"/>
        <v>#N/A</v>
      </c>
      <c r="H22" s="108" t="e">
        <f>IF(ISBLANK(D22),"",D22/Final!$W$4)</f>
        <v>#DIV/0!</v>
      </c>
      <c r="I22" s="91" t="e">
        <f t="shared" si="2"/>
        <v>#N/A</v>
      </c>
      <c r="J22" s="110" t="str" cm="1">
        <f t="array" ref="J22">IF(COUNTIF($I$2:I22, I22)=1, _xlfn.TEXTJOIN(", ", TRUE, _xlfn.UNIQUE(_xlfn._xlws.FILTER($F$2:$F$79, $I$2:$I$79=I22, ""))), "")</f>
        <v/>
      </c>
      <c r="K22" s="75" t="str" cm="1">
        <f t="array" ref="K22">IF(COUNTIF($I$2:I22,I22)=1,_xlfn.TEXTJOIN(", ",TRUE,IF($I$2:$I$79=I22,$G$2:$G$79,"")),"")</f>
        <v/>
      </c>
      <c r="L22" s="79" t="str">
        <f t="array" ref="L22">IF(COUNTIF($I$2:I22,I22)=1,I22,"")</f>
        <v/>
      </c>
      <c r="M22" s="80" t="str">
        <f t="array" ref="M22">IF(COUNTIF($H$2:H22,H22)=1,H22,"")</f>
        <v/>
      </c>
      <c r="N22" s="72"/>
      <c r="O22" s="77"/>
      <c r="P22" s="77"/>
      <c r="Q22" s="77"/>
      <c r="R22" s="81"/>
    </row>
    <row r="23" spans="1:18" ht="15.75" thickBot="1">
      <c r="A23" s="73" t="str" cm="1">
        <f t="array" ref="A23">INDEX(Final!$Z$1:$CY$1, LOOKUP(ROW(A22), {1,14,58,67,73,76}, {1,14,58,67,73,76}))</f>
        <v>B : Sewing</v>
      </c>
      <c r="B23" s="73" t="str">
        <f>INDEX(Final!$Z$2:$CY$2, ROW()-ROW($B$2)+1)</f>
        <v>9.Corrugation</v>
      </c>
      <c r="C23" s="74" t="e">
        <f>IF(ISBLANK(D23),"",D23/Final!$W$4)</f>
        <v>#DIV/0!</v>
      </c>
      <c r="D23" s="85">
        <f>INDEX(Final!$Z$4:$CY$4, ROW()-ROW($D$2)+1)</f>
        <v>0</v>
      </c>
      <c r="E23" s="87" t="e">
        <f>IF(C23="",COUNT($C$2:$C$79) + ROW()-ROW($C$2) + 1 - COUNT($C$2:C23),RANK(C23,$C$2:$C$79,0) + COUNTIF($C$2:C23,C23) - 1)</f>
        <v>#DIV/0!</v>
      </c>
      <c r="F23" s="89" t="e">
        <f t="shared" si="0"/>
        <v>#N/A</v>
      </c>
      <c r="G23" s="106" t="e">
        <f t="shared" si="1"/>
        <v>#N/A</v>
      </c>
      <c r="H23" s="108" t="e">
        <f>IF(ISBLANK(D23),"",D23/Final!$W$4)</f>
        <v>#DIV/0!</v>
      </c>
      <c r="I23" s="91" t="e">
        <f t="shared" si="2"/>
        <v>#N/A</v>
      </c>
      <c r="J23" s="110" t="str" cm="1">
        <f t="array" ref="J23">IF(COUNTIF($I$2:I23, I23)=1, _xlfn.TEXTJOIN(", ", TRUE, _xlfn.UNIQUE(_xlfn._xlws.FILTER($F$2:$F$79, $I$2:$I$79=I23, ""))), "")</f>
        <v/>
      </c>
      <c r="K23" s="75" t="str" cm="1">
        <f t="array" ref="K23">IF(COUNTIF($I$2:I23,I23)=1,_xlfn.TEXTJOIN(", ",TRUE,IF($I$2:$I$79=I23,$G$2:$G$79,"")),"")</f>
        <v/>
      </c>
      <c r="L23" s="79" t="str">
        <f t="array" ref="L23">IF(COUNTIF($I$2:I23,I23)=1,I23,"")</f>
        <v/>
      </c>
      <c r="M23" s="80" t="str">
        <f t="array" ref="M23">IF(COUNTIF($H$2:H23,H23)=1,H23,"")</f>
        <v/>
      </c>
      <c r="N23" s="72"/>
      <c r="O23" s="77"/>
      <c r="P23" s="77"/>
      <c r="Q23" s="77"/>
      <c r="R23" s="81"/>
    </row>
    <row r="24" spans="1:18" ht="15.75" thickBot="1">
      <c r="A24" s="73" t="str" cm="1">
        <f t="array" ref="A24">INDEX(Final!$Z$1:$CY$1, LOOKUP(ROW(A23), {1,14,58,67,73,76}, {1,14,58,67,73,76}))</f>
        <v>B : Sewing</v>
      </c>
      <c r="B24" s="73" t="str">
        <f>INDEX(Final!$Z$2:$CY$2, ROW()-ROW($B$2)+1)</f>
        <v>10.Thread breakage</v>
      </c>
      <c r="C24" s="74" t="e">
        <f>IF(ISBLANK(D24),"",D24/Final!$W$4)</f>
        <v>#DIV/0!</v>
      </c>
      <c r="D24" s="85">
        <f>INDEX(Final!$Z$4:$CY$4, ROW()-ROW($D$2)+1)</f>
        <v>0</v>
      </c>
      <c r="E24" s="87" t="e">
        <f>IF(C24="",COUNT($C$2:$C$79) + ROW()-ROW($C$2) + 1 - COUNT($C$2:C24),RANK(C24,$C$2:$C$79,0) + COUNTIF($C$2:C24,C24) - 1)</f>
        <v>#DIV/0!</v>
      </c>
      <c r="F24" s="89" t="e">
        <f t="shared" si="0"/>
        <v>#N/A</v>
      </c>
      <c r="G24" s="106" t="e">
        <f t="shared" si="1"/>
        <v>#N/A</v>
      </c>
      <c r="H24" s="108" t="e">
        <f>IF(ISBLANK(D24),"",D24/Final!$W$4)</f>
        <v>#DIV/0!</v>
      </c>
      <c r="I24" s="91" t="e">
        <f t="shared" si="2"/>
        <v>#N/A</v>
      </c>
      <c r="J24" s="110" t="str" cm="1">
        <f t="array" ref="J24">IF(COUNTIF($I$2:I24, I24)=1, _xlfn.TEXTJOIN(", ", TRUE, _xlfn.UNIQUE(_xlfn._xlws.FILTER($F$2:$F$79, $I$2:$I$79=I24, ""))), "")</f>
        <v/>
      </c>
      <c r="K24" s="75" t="str" cm="1">
        <f t="array" ref="K24">IF(COUNTIF($I$2:I24,I24)=1,_xlfn.TEXTJOIN(", ",TRUE,IF($I$2:$I$79=I24,$G$2:$G$79,"")),"")</f>
        <v/>
      </c>
      <c r="L24" s="79" t="str">
        <f t="array" ref="L24">IF(COUNTIF($I$2:I24,I24)=1,I24,"")</f>
        <v/>
      </c>
      <c r="M24" s="80" t="str">
        <f t="array" ref="M24">IF(COUNTIF($H$2:H24,H24)=1,H24,"")</f>
        <v/>
      </c>
      <c r="N24" s="72"/>
      <c r="O24" s="77"/>
      <c r="P24" s="77"/>
      <c r="Q24" s="77"/>
      <c r="R24" s="81"/>
    </row>
    <row r="25" spans="1:18" ht="15.75" thickBot="1">
      <c r="A25" s="73" t="str" cm="1">
        <f t="array" ref="A25">INDEX(Final!$Z$1:$CY$1, LOOKUP(ROW(A24), {1,14,58,67,73,76}, {1,14,58,67,73,76}))</f>
        <v>B : Sewing</v>
      </c>
      <c r="B25" s="73" t="str">
        <f>INDEX(Final!$Z$2:$CY$2, ROW()-ROW($B$2)+1)</f>
        <v>11.Lack of elasticity</v>
      </c>
      <c r="C25" s="74" t="e">
        <f>IF(ISBLANK(D25),"",D25/Final!$W$4)</f>
        <v>#DIV/0!</v>
      </c>
      <c r="D25" s="85">
        <f>INDEX(Final!$Z$4:$CY$4, ROW()-ROW($D$2)+1)</f>
        <v>0</v>
      </c>
      <c r="E25" s="87" t="e">
        <f>IF(C25="",COUNT($C$2:$C$79) + ROW()-ROW($C$2) + 1 - COUNT($C$2:C25),RANK(C25,$C$2:$C$79,0) + COUNTIF($C$2:C25,C25) - 1)</f>
        <v>#DIV/0!</v>
      </c>
      <c r="F25" s="89" t="e">
        <f t="shared" si="0"/>
        <v>#N/A</v>
      </c>
      <c r="G25" s="106" t="e">
        <f t="shared" si="1"/>
        <v>#N/A</v>
      </c>
      <c r="H25" s="108" t="e">
        <f>IF(ISBLANK(D25),"",D25/Final!$W$4)</f>
        <v>#DIV/0!</v>
      </c>
      <c r="I25" s="91" t="e">
        <f t="shared" si="2"/>
        <v>#N/A</v>
      </c>
      <c r="J25" s="110" t="str" cm="1">
        <f t="array" ref="J25">IF(COUNTIF($I$2:I25, I25)=1, _xlfn.TEXTJOIN(", ", TRUE, _xlfn.UNIQUE(_xlfn._xlws.FILTER($F$2:$F$79, $I$2:$I$79=I25, ""))), "")</f>
        <v/>
      </c>
      <c r="K25" s="75" t="str" cm="1">
        <f t="array" ref="K25">IF(COUNTIF($I$2:I25,I25)=1,_xlfn.TEXTJOIN(", ",TRUE,IF($I$2:$I$79=I25,$G$2:$G$79,"")),"")</f>
        <v/>
      </c>
      <c r="L25" s="79" t="str">
        <f t="array" ref="L25">IF(COUNTIF($I$2:I25,I25)=1,I25,"")</f>
        <v/>
      </c>
      <c r="M25" s="80" t="str">
        <f t="array" ref="M25">IF(COUNTIF($H$2:H25,H25)=1,H25,"")</f>
        <v/>
      </c>
      <c r="N25" s="72"/>
      <c r="O25" s="77"/>
      <c r="P25" s="77"/>
      <c r="Q25" s="77"/>
      <c r="R25" s="81"/>
    </row>
    <row r="26" spans="1:18" ht="15.75" thickBot="1">
      <c r="A26" s="73" t="str" cm="1">
        <f t="array" ref="A26">INDEX(Final!$Z$1:$CY$1, LOOKUP(ROW(A25), {1,14,58,67,73,76}, {1,14,58,67,73,76}))</f>
        <v>B : Sewing</v>
      </c>
      <c r="B26" s="73" t="str">
        <f>INDEX(Final!$Z$2:$CY$2, ROW()-ROW($B$2)+1)</f>
        <v>12.Incorrect stitching number</v>
      </c>
      <c r="C26" s="74" t="e">
        <f>IF(ISBLANK(D26),"",D26/Final!$W$4)</f>
        <v>#DIV/0!</v>
      </c>
      <c r="D26" s="85">
        <f>INDEX(Final!$Z$4:$CY$4, ROW()-ROW($D$2)+1)</f>
        <v>0</v>
      </c>
      <c r="E26" s="87" t="e">
        <f>IF(C26="",COUNT($C$2:$C$79) + ROW()-ROW($C$2) + 1 - COUNT($C$2:C26),RANK(C26,$C$2:$C$79,0) + COUNTIF($C$2:C26,C26) - 1)</f>
        <v>#DIV/0!</v>
      </c>
      <c r="F26" s="89" t="e">
        <f t="shared" si="0"/>
        <v>#N/A</v>
      </c>
      <c r="G26" s="106" t="e">
        <f t="shared" si="1"/>
        <v>#N/A</v>
      </c>
      <c r="H26" s="108" t="e">
        <f>IF(ISBLANK(D26),"",D26/Final!$W$4)</f>
        <v>#DIV/0!</v>
      </c>
      <c r="I26" s="91" t="e">
        <f t="shared" si="2"/>
        <v>#N/A</v>
      </c>
      <c r="J26" s="110" t="str" cm="1">
        <f t="array" ref="J26">IF(COUNTIF($I$2:I26, I26)=1, _xlfn.TEXTJOIN(", ", TRUE, _xlfn.UNIQUE(_xlfn._xlws.FILTER($F$2:$F$79, $I$2:$I$79=I26, ""))), "")</f>
        <v/>
      </c>
      <c r="K26" s="75" t="str" cm="1">
        <f t="array" ref="K26">IF(COUNTIF($I$2:I26,I26)=1,_xlfn.TEXTJOIN(", ",TRUE,IF($I$2:$I$79=I26,$G$2:$G$79,"")),"")</f>
        <v/>
      </c>
      <c r="L26" s="79" t="str">
        <f t="array" ref="L26">IF(COUNTIF($I$2:I26,I26)=1,I26,"")</f>
        <v/>
      </c>
      <c r="M26" s="80" t="str">
        <f t="array" ref="M26">IF(COUNTIF($H$2:H26,H26)=1,H26,"")</f>
        <v/>
      </c>
      <c r="N26" s="72"/>
      <c r="O26" s="77"/>
      <c r="P26" s="77"/>
      <c r="Q26" s="77"/>
      <c r="R26" s="81"/>
    </row>
    <row r="27" spans="1:18" ht="15.75" thickBot="1">
      <c r="A27" s="73" t="str" cm="1">
        <f t="array" ref="A27">INDEX(Final!$Z$1:$CY$1, LOOKUP(ROW(A26), {1,14,58,67,73,76}, {1,14,58,67,73,76}))</f>
        <v>B : Sewing</v>
      </c>
      <c r="B27" s="73" t="str">
        <f>INDEX(Final!$Z$2:$CY$2, ROW()-ROW($B$2)+1)</f>
        <v>13.Stitches out of seam allowance</v>
      </c>
      <c r="C27" s="74" t="e">
        <f>IF(ISBLANK(D27),"",D27/Final!$W$4)</f>
        <v>#DIV/0!</v>
      </c>
      <c r="D27" s="85">
        <f>INDEX(Final!$Z$4:$CY$4, ROW()-ROW($D$2)+1)</f>
        <v>0</v>
      </c>
      <c r="E27" s="87" t="e">
        <f>IF(C27="",COUNT($C$2:$C$79) + ROW()-ROW($C$2) + 1 - COUNT($C$2:C27),RANK(C27,$C$2:$C$79,0) + COUNTIF($C$2:C27,C27) - 1)</f>
        <v>#DIV/0!</v>
      </c>
      <c r="F27" s="89" t="e">
        <f t="shared" si="0"/>
        <v>#N/A</v>
      </c>
      <c r="G27" s="106" t="e">
        <f t="shared" si="1"/>
        <v>#N/A</v>
      </c>
      <c r="H27" s="108" t="e">
        <f>IF(ISBLANK(D27),"",D27/Final!$W$4)</f>
        <v>#DIV/0!</v>
      </c>
      <c r="I27" s="91" t="e">
        <f t="shared" si="2"/>
        <v>#N/A</v>
      </c>
      <c r="J27" s="110" t="str" cm="1">
        <f t="array" ref="J27">IF(COUNTIF($I$2:I27, I27)=1, _xlfn.TEXTJOIN(", ", TRUE, _xlfn.UNIQUE(_xlfn._xlws.FILTER($F$2:$F$79, $I$2:$I$79=I27, ""))), "")</f>
        <v/>
      </c>
      <c r="K27" s="75" t="str" cm="1">
        <f t="array" ref="K27">IF(COUNTIF($I$2:I27,I27)=1,_xlfn.TEXTJOIN(", ",TRUE,IF($I$2:$I$79=I27,$G$2:$G$79,"")),"")</f>
        <v/>
      </c>
      <c r="L27" s="79" t="str">
        <f t="array" ref="L27">IF(COUNTIF($I$2:I27,I27)=1,I27,"")</f>
        <v/>
      </c>
      <c r="M27" s="80" t="str">
        <f t="array" ref="M27">IF(COUNTIF($H$2:H27,H27)=1,H27,"")</f>
        <v/>
      </c>
      <c r="N27" s="72"/>
      <c r="O27" s="77"/>
      <c r="P27" s="77"/>
      <c r="Q27" s="77"/>
      <c r="R27" s="81"/>
    </row>
    <row r="28" spans="1:18" ht="15.75" thickBot="1">
      <c r="A28" s="73" t="str" cm="1">
        <f t="array" ref="A28">INDEX(Final!$Z$1:$CY$1, LOOKUP(ROW(A27), {1,14,58,67,73,76}, {1,14,58,67,73,76}))</f>
        <v>B : Sewing</v>
      </c>
      <c r="B28" s="73" t="str">
        <f>INDEX(Final!$Z$2:$CY$2, ROW()-ROW($B$2)+1)</f>
        <v>14.Missing stitch</v>
      </c>
      <c r="C28" s="74" t="e">
        <f>IF(ISBLANK(D28),"",D28/Final!$W$4)</f>
        <v>#DIV/0!</v>
      </c>
      <c r="D28" s="85">
        <f>INDEX(Final!$Z$4:$CY$4, ROW()-ROW($D$2)+1)</f>
        <v>0</v>
      </c>
      <c r="E28" s="87" t="e">
        <f>IF(C28="",COUNT($C$2:$C$79) + ROW()-ROW($C$2) + 1 - COUNT($C$2:C28),RANK(C28,$C$2:$C$79,0) + COUNTIF($C$2:C28,C28) - 1)</f>
        <v>#DIV/0!</v>
      </c>
      <c r="F28" s="89" t="e">
        <f t="shared" si="0"/>
        <v>#N/A</v>
      </c>
      <c r="G28" s="106" t="e">
        <f t="shared" si="1"/>
        <v>#N/A</v>
      </c>
      <c r="H28" s="108" t="e">
        <f>IF(ISBLANK(D28),"",D28/Final!$W$4)</f>
        <v>#DIV/0!</v>
      </c>
      <c r="I28" s="91" t="e">
        <f t="shared" si="2"/>
        <v>#N/A</v>
      </c>
      <c r="J28" s="110" t="str" cm="1">
        <f t="array" ref="J28">IF(COUNTIF($I$2:I28, I28)=1, _xlfn.TEXTJOIN(", ", TRUE, _xlfn.UNIQUE(_xlfn._xlws.FILTER($F$2:$F$79, $I$2:$I$79=I28, ""))), "")</f>
        <v/>
      </c>
      <c r="K28" s="75" t="str" cm="1">
        <f t="array" ref="K28">IF(COUNTIF($I$2:I28,I28)=1,_xlfn.TEXTJOIN(", ",TRUE,IF($I$2:$I$79=I28,$G$2:$G$79,"")),"")</f>
        <v/>
      </c>
      <c r="L28" s="79" t="str">
        <f t="array" ref="L28">IF(COUNTIF($I$2:I28,I28)=1,I28,"")</f>
        <v/>
      </c>
      <c r="M28" s="80" t="str">
        <f t="array" ref="M28">IF(COUNTIF($H$2:H28,H28)=1,H28,"")</f>
        <v/>
      </c>
      <c r="N28" s="72"/>
      <c r="O28" s="77"/>
      <c r="P28" s="77"/>
      <c r="Q28" s="77"/>
      <c r="R28" s="81"/>
    </row>
    <row r="29" spans="1:18" ht="15.75" thickBot="1">
      <c r="A29" s="73" t="str" cm="1">
        <f t="array" ref="A29">INDEX(Final!$Z$1:$CY$1, LOOKUP(ROW(A28), {1,14,58,67,73,76}, {1,14,58,67,73,76}))</f>
        <v>B : Sewing</v>
      </c>
      <c r="B29" s="73" t="str">
        <f>INDEX(Final!$Z$2:$CY$2, ROW()-ROW($B$2)+1)</f>
        <v>15.Lack of seam allowance</v>
      </c>
      <c r="C29" s="74" t="e">
        <f>IF(ISBLANK(D29),"",D29/Final!$W$4)</f>
        <v>#DIV/0!</v>
      </c>
      <c r="D29" s="85">
        <f>INDEX(Final!$Z$4:$CY$4, ROW()-ROW($D$2)+1)</f>
        <v>0</v>
      </c>
      <c r="E29" s="87" t="e">
        <f>IF(C29="",COUNT($C$2:$C$79) + ROW()-ROW($C$2) + 1 - COUNT($C$2:C29),RANK(C29,$C$2:$C$79,0) + COUNTIF($C$2:C29,C29) - 1)</f>
        <v>#DIV/0!</v>
      </c>
      <c r="F29" s="89" t="e">
        <f t="shared" si="0"/>
        <v>#N/A</v>
      </c>
      <c r="G29" s="106" t="e">
        <f t="shared" si="1"/>
        <v>#N/A</v>
      </c>
      <c r="H29" s="108" t="e">
        <f>IF(ISBLANK(D29),"",D29/Final!$W$4)</f>
        <v>#DIV/0!</v>
      </c>
      <c r="I29" s="91" t="e">
        <f t="shared" si="2"/>
        <v>#N/A</v>
      </c>
      <c r="J29" s="110" t="str" cm="1">
        <f t="array" ref="J29">IF(COUNTIF($I$2:I29, I29)=1, _xlfn.TEXTJOIN(", ", TRUE, _xlfn.UNIQUE(_xlfn._xlws.FILTER($F$2:$F$79, $I$2:$I$79=I29, ""))), "")</f>
        <v/>
      </c>
      <c r="K29" s="75" t="str" cm="1">
        <f t="array" ref="K29">IF(COUNTIF($I$2:I29,I29)=1,_xlfn.TEXTJOIN(", ",TRUE,IF($I$2:$I$79=I29,$G$2:$G$79,"")),"")</f>
        <v/>
      </c>
      <c r="L29" s="79" t="str">
        <f t="array" ref="L29">IF(COUNTIF($I$2:I29,I29)=1,I29,"")</f>
        <v/>
      </c>
      <c r="M29" s="80" t="str">
        <f t="array" ref="M29">IF(COUNTIF($H$2:H29,H29)=1,H29,"")</f>
        <v/>
      </c>
      <c r="N29" s="72"/>
      <c r="O29" s="77"/>
      <c r="P29" s="77"/>
      <c r="Q29" s="77"/>
      <c r="R29" s="81"/>
    </row>
    <row r="30" spans="1:18" ht="15.75" thickBot="1">
      <c r="A30" s="73" t="str" cm="1">
        <f t="array" ref="A30">INDEX(Final!$Z$1:$CY$1, LOOKUP(ROW(A29), {1,14,58,67,73,76}, {1,14,58,67,73,76}))</f>
        <v>B : Sewing</v>
      </c>
      <c r="B30" s="73" t="str">
        <f>INDEX(Final!$Z$2:$CY$2, ROW()-ROW($B$2)+1)</f>
        <v>16.Unexpected tuck</v>
      </c>
      <c r="C30" s="74" t="e">
        <f>IF(ISBLANK(D30),"",D30/Final!$W$4)</f>
        <v>#DIV/0!</v>
      </c>
      <c r="D30" s="85">
        <f>INDEX(Final!$Z$4:$CY$4, ROW()-ROW($D$2)+1)</f>
        <v>0</v>
      </c>
      <c r="E30" s="87" t="e">
        <f>IF(C30="",COUNT($C$2:$C$79) + ROW()-ROW($C$2) + 1 - COUNT($C$2:C30),RANK(C30,$C$2:$C$79,0) + COUNTIF($C$2:C30,C30) - 1)</f>
        <v>#DIV/0!</v>
      </c>
      <c r="F30" s="89" t="e">
        <f t="shared" si="0"/>
        <v>#N/A</v>
      </c>
      <c r="G30" s="106" t="e">
        <f t="shared" si="1"/>
        <v>#N/A</v>
      </c>
      <c r="H30" s="108" t="e">
        <f>IF(ISBLANK(D30),"",D30/Final!$W$4)</f>
        <v>#DIV/0!</v>
      </c>
      <c r="I30" s="91" t="e">
        <f t="shared" si="2"/>
        <v>#N/A</v>
      </c>
      <c r="J30" s="110" t="str" cm="1">
        <f t="array" ref="J30">IF(COUNTIF($I$2:I30, I30)=1, _xlfn.TEXTJOIN(", ", TRUE, _xlfn.UNIQUE(_xlfn._xlws.FILTER($F$2:$F$79, $I$2:$I$79=I30, ""))), "")</f>
        <v/>
      </c>
      <c r="K30" s="75" t="str" cm="1">
        <f t="array" ref="K30">IF(COUNTIF($I$2:I30,I30)=1,_xlfn.TEXTJOIN(", ",TRUE,IF($I$2:$I$79=I30,$G$2:$G$79,"")),"")</f>
        <v/>
      </c>
      <c r="L30" s="79" t="str">
        <f t="array" ref="L30">IF(COUNTIF($I$2:I30,I30)=1,I30,"")</f>
        <v/>
      </c>
      <c r="M30" s="80" t="str">
        <f t="array" ref="M30">IF(COUNTIF($H$2:H30,H30)=1,H30,"")</f>
        <v/>
      </c>
      <c r="N30" s="72"/>
      <c r="O30" s="77"/>
      <c r="P30" s="77"/>
      <c r="Q30" s="77"/>
      <c r="R30" s="81"/>
    </row>
    <row r="31" spans="1:18" ht="15.75" thickBot="1">
      <c r="A31" s="73" t="str" cm="1">
        <f t="array" ref="A31">INDEX(Final!$Z$1:$CY$1, LOOKUP(ROW(A30), {1,14,58,67,73,76}, {1,14,58,67,73,76}))</f>
        <v>B : Sewing</v>
      </c>
      <c r="B31" s="73" t="str">
        <f>INDEX(Final!$Z$2:$CY$2, ROW()-ROW($B$2)+1)</f>
        <v>17.Unexpected fullness</v>
      </c>
      <c r="C31" s="74" t="e">
        <f>IF(ISBLANK(D31),"",D31/Final!$W$4)</f>
        <v>#DIV/0!</v>
      </c>
      <c r="D31" s="85">
        <f>INDEX(Final!$Z$4:$CY$4, ROW()-ROW($D$2)+1)</f>
        <v>0</v>
      </c>
      <c r="E31" s="87" t="e">
        <f>IF(C31="",COUNT($C$2:$C$79) + ROW()-ROW($C$2) + 1 - COUNT($C$2:C31),RANK(C31,$C$2:$C$79,0) + COUNTIF($C$2:C31,C31) - 1)</f>
        <v>#DIV/0!</v>
      </c>
      <c r="F31" s="89" t="e">
        <f t="shared" si="0"/>
        <v>#N/A</v>
      </c>
      <c r="G31" s="106" t="e">
        <f t="shared" si="1"/>
        <v>#N/A</v>
      </c>
      <c r="H31" s="108" t="e">
        <f>IF(ISBLANK(D31),"",D31/Final!$W$4)</f>
        <v>#DIV/0!</v>
      </c>
      <c r="I31" s="91" t="e">
        <f t="shared" si="2"/>
        <v>#N/A</v>
      </c>
      <c r="J31" s="110" t="str" cm="1">
        <f t="array" ref="J31">IF(COUNTIF($I$2:I31, I31)=1, _xlfn.TEXTJOIN(", ", TRUE, _xlfn.UNIQUE(_xlfn._xlws.FILTER($F$2:$F$79, $I$2:$I$79=I31, ""))), "")</f>
        <v/>
      </c>
      <c r="K31" s="75" t="str" cm="1">
        <f t="array" ref="K31">IF(COUNTIF($I$2:I31,I31)=1,_xlfn.TEXTJOIN(", ",TRUE,IF($I$2:$I$79=I31,$G$2:$G$79,"")),"")</f>
        <v/>
      </c>
      <c r="L31" s="79" t="str">
        <f t="array" ref="L31">IF(COUNTIF($I$2:I31,I31)=1,I31,"")</f>
        <v/>
      </c>
      <c r="M31" s="80" t="str">
        <f t="array" ref="M31">IF(COUNTIF($H$2:H31,H31)=1,H31,"")</f>
        <v/>
      </c>
      <c r="N31" s="72"/>
      <c r="O31" s="77"/>
      <c r="P31" s="77"/>
      <c r="Q31" s="77"/>
      <c r="R31" s="81"/>
    </row>
    <row r="32" spans="1:18" ht="15.75" thickBot="1">
      <c r="A32" s="73" t="str" cm="1">
        <f t="array" ref="A32">INDEX(Final!$Z$1:$CY$1, LOOKUP(ROW(A31), {1,14,58,67,73,76}, {1,14,58,67,73,76}))</f>
        <v>B : Sewing</v>
      </c>
      <c r="B32" s="73" t="str">
        <f>INDEX(Final!$Z$2:$CY$2, ROW()-ROW($B$2)+1)</f>
        <v>18.Needle mark</v>
      </c>
      <c r="C32" s="74" t="e">
        <f>IF(ISBLANK(D32),"",D32/Final!$W$4)</f>
        <v>#DIV/0!</v>
      </c>
      <c r="D32" s="85">
        <f>INDEX(Final!$Z$4:$CY$4, ROW()-ROW($D$2)+1)</f>
        <v>0</v>
      </c>
      <c r="E32" s="87" t="e">
        <f>IF(C32="",COUNT($C$2:$C$79) + ROW()-ROW($C$2) + 1 - COUNT($C$2:C32),RANK(C32,$C$2:$C$79,0) + COUNTIF($C$2:C32,C32) - 1)</f>
        <v>#DIV/0!</v>
      </c>
      <c r="F32" s="89" t="e">
        <f t="shared" si="0"/>
        <v>#N/A</v>
      </c>
      <c r="G32" s="106" t="e">
        <f t="shared" si="1"/>
        <v>#N/A</v>
      </c>
      <c r="H32" s="108" t="e">
        <f>IF(ISBLANK(D32),"",D32/Final!$W$4)</f>
        <v>#DIV/0!</v>
      </c>
      <c r="I32" s="91" t="e">
        <f t="shared" si="2"/>
        <v>#N/A</v>
      </c>
      <c r="J32" s="110" t="str" cm="1">
        <f t="array" ref="J32">IF(COUNTIF($I$2:I32, I32)=1, _xlfn.TEXTJOIN(", ", TRUE, _xlfn.UNIQUE(_xlfn._xlws.FILTER($F$2:$F$79, $I$2:$I$79=I32, ""))), "")</f>
        <v/>
      </c>
      <c r="K32" s="75" t="str" cm="1">
        <f t="array" ref="K32">IF(COUNTIF($I$2:I32,I32)=1,_xlfn.TEXTJOIN(", ",TRUE,IF($I$2:$I$79=I32,$G$2:$G$79,"")),"")</f>
        <v/>
      </c>
      <c r="L32" s="79" t="str">
        <f t="array" ref="L32">IF(COUNTIF($I$2:I32,I32)=1,I32,"")</f>
        <v/>
      </c>
      <c r="M32" s="80" t="str">
        <f t="array" ref="M32">IF(COUNTIF($H$2:H32,H32)=1,H32,"")</f>
        <v/>
      </c>
      <c r="N32" s="72"/>
      <c r="O32" s="77"/>
      <c r="P32" s="77"/>
      <c r="Q32" s="77"/>
      <c r="R32" s="81"/>
    </row>
    <row r="33" spans="1:18" ht="15.75" thickBot="1">
      <c r="A33" s="73" t="str" cm="1">
        <f t="array" ref="A33">INDEX(Final!$Z$1:$CY$1, LOOKUP(ROW(A32), {1,14,58,67,73,76}, {1,14,58,67,73,76}))</f>
        <v>B : Sewing</v>
      </c>
      <c r="B33" s="73" t="str">
        <f>INDEX(Final!$Z$2:$CY$2, ROW()-ROW($B$2)+1)</f>
        <v>19.Sewing defects caused by machine</v>
      </c>
      <c r="C33" s="74" t="e">
        <f>IF(ISBLANK(D33),"",D33/Final!$W$4)</f>
        <v>#DIV/0!</v>
      </c>
      <c r="D33" s="85">
        <f>INDEX(Final!$Z$4:$CY$4, ROW()-ROW($D$2)+1)</f>
        <v>0</v>
      </c>
      <c r="E33" s="87" t="e">
        <f>IF(C33="",COUNT($C$2:$C$79) + ROW()-ROW($C$2) + 1 - COUNT($C$2:C33),RANK(C33,$C$2:$C$79,0) + COUNTIF($C$2:C33,C33) - 1)</f>
        <v>#DIV/0!</v>
      </c>
      <c r="F33" s="89" t="e">
        <f t="shared" si="0"/>
        <v>#N/A</v>
      </c>
      <c r="G33" s="106" t="e">
        <f t="shared" si="1"/>
        <v>#N/A</v>
      </c>
      <c r="H33" s="108" t="e">
        <f>IF(ISBLANK(D33),"",D33/Final!$W$4)</f>
        <v>#DIV/0!</v>
      </c>
      <c r="I33" s="91" t="e">
        <f t="shared" si="2"/>
        <v>#N/A</v>
      </c>
      <c r="J33" s="110" t="str" cm="1">
        <f t="array" ref="J33">IF(COUNTIF($I$2:I33, I33)=1, _xlfn.TEXTJOIN(", ", TRUE, _xlfn.UNIQUE(_xlfn._xlws.FILTER($F$2:$F$79, $I$2:$I$79=I33, ""))), "")</f>
        <v/>
      </c>
      <c r="K33" s="75" t="str" cm="1">
        <f t="array" ref="K33">IF(COUNTIF($I$2:I33,I33)=1,_xlfn.TEXTJOIN(", ",TRUE,IF($I$2:$I$79=I33,$G$2:$G$79,"")),"")</f>
        <v/>
      </c>
      <c r="L33" s="79" t="str">
        <f t="array" ref="L33">IF(COUNTIF($I$2:I33,I33)=1,I33,"")</f>
        <v/>
      </c>
      <c r="M33" s="80" t="str">
        <f t="array" ref="M33">IF(COUNTIF($H$2:H33,H33)=1,H33,"")</f>
        <v/>
      </c>
      <c r="N33" s="72"/>
      <c r="O33" s="77"/>
      <c r="P33" s="77"/>
      <c r="Q33" s="77"/>
      <c r="R33" s="81"/>
    </row>
    <row r="34" spans="1:18" ht="15.75" thickBot="1">
      <c r="A34" s="73" t="str" cm="1">
        <f t="array" ref="A34">INDEX(Final!$Z$1:$CY$1, LOOKUP(ROW(A33), {1,14,58,67,73,76}, {1,14,58,67,73,76}))</f>
        <v>B : Sewing</v>
      </c>
      <c r="B34" s="73" t="str">
        <f>INDEX(Final!$Z$2:$CY$2, ROW()-ROW($B$2)+1)</f>
        <v>20.Incorrect size of lining</v>
      </c>
      <c r="C34" s="74" t="e">
        <f>IF(ISBLANK(D34),"",D34/Final!$W$4)</f>
        <v>#DIV/0!</v>
      </c>
      <c r="D34" s="85">
        <f>INDEX(Final!$Z$4:$CY$4, ROW()-ROW($D$2)+1)</f>
        <v>0</v>
      </c>
      <c r="E34" s="87" t="e">
        <f>IF(C34="",COUNT($C$2:$C$79) + ROW()-ROW($C$2) + 1 - COUNT($C$2:C34),RANK(C34,$C$2:$C$79,0) + COUNTIF($C$2:C34,C34) - 1)</f>
        <v>#DIV/0!</v>
      </c>
      <c r="F34" s="89" t="e">
        <f t="shared" ref="F34:F65" si="4">INDEX($A:$A, MATCH(G34, $B:$B, 0))</f>
        <v>#N/A</v>
      </c>
      <c r="G34" s="106" t="e">
        <f t="shared" ref="G34:G65" si="5">INDEX($B$2:$B$79,MATCH(ROW()-1,$E$2:$E$79,0))</f>
        <v>#N/A</v>
      </c>
      <c r="H34" s="108" t="e">
        <f>IF(ISBLANK(D34),"",D34/Final!$W$4)</f>
        <v>#DIV/0!</v>
      </c>
      <c r="I34" s="91" t="e">
        <f t="shared" si="2"/>
        <v>#N/A</v>
      </c>
      <c r="J34" s="110" t="str" cm="1">
        <f t="array" ref="J34">IF(COUNTIF($I$2:I34, I34)=1, _xlfn.TEXTJOIN(", ", TRUE, _xlfn.UNIQUE(_xlfn._xlws.FILTER($F$2:$F$79, $I$2:$I$79=I34, ""))), "")</f>
        <v/>
      </c>
      <c r="K34" s="75" t="str" cm="1">
        <f t="array" ref="K34">IF(COUNTIF($I$2:I34,I34)=1,_xlfn.TEXTJOIN(", ",TRUE,IF($I$2:$I$79=I34,$G$2:$G$79,"")),"")</f>
        <v/>
      </c>
      <c r="L34" s="79" t="str">
        <f t="array" ref="L34">IF(COUNTIF($I$2:I34,I34)=1,I34,"")</f>
        <v/>
      </c>
      <c r="M34" s="80" t="str">
        <f t="array" ref="M34">IF(COUNTIF($H$2:H34,H34)=1,H34,"")</f>
        <v/>
      </c>
      <c r="N34" s="72"/>
      <c r="O34" s="77"/>
      <c r="P34" s="77"/>
      <c r="Q34" s="77"/>
      <c r="R34" s="81"/>
    </row>
    <row r="35" spans="1:18" ht="15.75" thickBot="1">
      <c r="A35" s="73" t="str" cm="1">
        <f t="array" ref="A35">INDEX(Final!$Z$1:$CY$1, LOOKUP(ROW(A34), {1,14,58,67,73,76}, {1,14,58,67,73,76}))</f>
        <v>B : Sewing</v>
      </c>
      <c r="B35" s="73" t="str">
        <f>INDEX(Final!$Z$2:$CY$2, ROW()-ROW($B$2)+1)</f>
        <v>21.Skipped stitch</v>
      </c>
      <c r="C35" s="74" t="e">
        <f>IF(ISBLANK(D35),"",D35/Final!$W$4)</f>
        <v>#DIV/0!</v>
      </c>
      <c r="D35" s="85">
        <f>INDEX(Final!$Z$4:$CY$4, ROW()-ROW($D$2)+1)</f>
        <v>0</v>
      </c>
      <c r="E35" s="87" t="e">
        <f>IF(C35="",COUNT($C$2:$C$79) + ROW()-ROW($C$2) + 1 - COUNT($C$2:C35),RANK(C35,$C$2:$C$79,0) + COUNTIF($C$2:C35,C35) - 1)</f>
        <v>#DIV/0!</v>
      </c>
      <c r="F35" s="89" t="e">
        <f t="shared" si="4"/>
        <v>#N/A</v>
      </c>
      <c r="G35" s="106" t="e">
        <f t="shared" si="5"/>
        <v>#N/A</v>
      </c>
      <c r="H35" s="108" t="e">
        <f>IF(ISBLANK(D35),"",D35/Final!$W$4)</f>
        <v>#DIV/0!</v>
      </c>
      <c r="I35" s="91" t="e">
        <f t="shared" si="2"/>
        <v>#N/A</v>
      </c>
      <c r="J35" s="110" t="str" cm="1">
        <f t="array" ref="J35">IF(COUNTIF($I$2:I35, I35)=1, _xlfn.TEXTJOIN(", ", TRUE, _xlfn.UNIQUE(_xlfn._xlws.FILTER($F$2:$F$79, $I$2:$I$79=I35, ""))), "")</f>
        <v/>
      </c>
      <c r="K35" s="75" t="str" cm="1">
        <f t="array" ref="K35">IF(COUNTIF($I$2:I35,I35)=1,_xlfn.TEXTJOIN(", ",TRUE,IF($I$2:$I$79=I35,$G$2:$G$79,"")),"")</f>
        <v/>
      </c>
      <c r="L35" s="79" t="str">
        <f t="array" ref="L35">IF(COUNTIF($I$2:I35,I35)=1,I35,"")</f>
        <v/>
      </c>
      <c r="M35" s="80" t="str">
        <f t="array" ref="M35">IF(COUNTIF($H$2:H35,H35)=1,H35,"")</f>
        <v/>
      </c>
      <c r="N35" s="72"/>
      <c r="O35" s="77"/>
      <c r="P35" s="77"/>
      <c r="Q35" s="77"/>
      <c r="R35" s="81"/>
    </row>
    <row r="36" spans="1:18" ht="15.75" thickBot="1">
      <c r="A36" s="73" t="str" cm="1">
        <f t="array" ref="A36">INDEX(Final!$Z$1:$CY$1, LOOKUP(ROW(A35), {1,14,58,67,73,76}, {1,14,58,67,73,76}))</f>
        <v>B : Sewing</v>
      </c>
      <c r="B36" s="73" t="str">
        <f>INDEX(Final!$Z$2:$CY$2, ROW()-ROW($B$2)+1)</f>
        <v>22.Sewing involving unexpected parts</v>
      </c>
      <c r="C36" s="74" t="e">
        <f>IF(ISBLANK(D36),"",D36/Final!$W$4)</f>
        <v>#DIV/0!</v>
      </c>
      <c r="D36" s="85">
        <f>INDEX(Final!$Z$4:$CY$4, ROW()-ROW($D$2)+1)</f>
        <v>0</v>
      </c>
      <c r="E36" s="87" t="e">
        <f>IF(C36="",COUNT($C$2:$C$79) + ROW()-ROW($C$2) + 1 - COUNT($C$2:C36),RANK(C36,$C$2:$C$79,0) + COUNTIF($C$2:C36,C36) - 1)</f>
        <v>#DIV/0!</v>
      </c>
      <c r="F36" s="89" t="e">
        <f t="shared" si="4"/>
        <v>#N/A</v>
      </c>
      <c r="G36" s="106" t="e">
        <f t="shared" si="5"/>
        <v>#N/A</v>
      </c>
      <c r="H36" s="108" t="e">
        <f>IF(ISBLANK(D36),"",D36/Final!$W$4)</f>
        <v>#DIV/0!</v>
      </c>
      <c r="I36" s="91" t="e">
        <f t="shared" si="2"/>
        <v>#N/A</v>
      </c>
      <c r="J36" s="110" t="str" cm="1">
        <f t="array" ref="J36">IF(COUNTIF($I$2:I36, I36)=1, _xlfn.TEXTJOIN(", ", TRUE, _xlfn.UNIQUE(_xlfn._xlws.FILTER($F$2:$F$79, $I$2:$I$79=I36, ""))), "")</f>
        <v/>
      </c>
      <c r="K36" s="75" t="str" cm="1">
        <f t="array" ref="K36">IF(COUNTIF($I$2:I36,I36)=1,_xlfn.TEXTJOIN(", ",TRUE,IF($I$2:$I$79=I36,$G$2:$G$79,"")),"")</f>
        <v/>
      </c>
      <c r="L36" s="79" t="str">
        <f t="array" ref="L36">IF(COUNTIF($I$2:I36,I36)=1,I36,"")</f>
        <v/>
      </c>
      <c r="M36" s="80" t="str">
        <f t="array" ref="M36">IF(COUNTIF($H$2:H36,H36)=1,H36,"")</f>
        <v/>
      </c>
      <c r="N36" s="72"/>
      <c r="O36" s="77"/>
      <c r="P36" s="77"/>
      <c r="Q36" s="77"/>
      <c r="R36" s="81"/>
    </row>
    <row r="37" spans="1:18" ht="15.75" thickBot="1">
      <c r="A37" s="73" t="str" cm="1">
        <f t="array" ref="A37">INDEX(Final!$Z$1:$CY$1, LOOKUP(ROW(A36), {1,14,58,67,73,76}, {1,14,58,67,73,76}))</f>
        <v>B : Sewing</v>
      </c>
      <c r="B37" s="73" t="str">
        <f>INDEX(Final!$Z$2:$CY$2, ROW()-ROW($B$2)+1)</f>
        <v>23.Missing sewing process</v>
      </c>
      <c r="C37" s="74" t="e">
        <f>IF(ISBLANK(D37),"",D37/Final!$W$4)</f>
        <v>#DIV/0!</v>
      </c>
      <c r="D37" s="85">
        <f>INDEX(Final!$Z$4:$CY$4, ROW()-ROW($D$2)+1)</f>
        <v>0</v>
      </c>
      <c r="E37" s="87" t="e">
        <f>IF(C37="",COUNT($C$2:$C$79) + ROW()-ROW($C$2) + 1 - COUNT($C$2:C37),RANK(C37,$C$2:$C$79,0) + COUNTIF($C$2:C37,C37) - 1)</f>
        <v>#DIV/0!</v>
      </c>
      <c r="F37" s="89" t="e">
        <f t="shared" si="4"/>
        <v>#N/A</v>
      </c>
      <c r="G37" s="106" t="e">
        <f t="shared" si="5"/>
        <v>#N/A</v>
      </c>
      <c r="H37" s="108" t="e">
        <f>IF(ISBLANK(D37),"",D37/Final!$W$4)</f>
        <v>#DIV/0!</v>
      </c>
      <c r="I37" s="91" t="e">
        <f t="shared" si="2"/>
        <v>#N/A</v>
      </c>
      <c r="J37" s="110" t="str" cm="1">
        <f t="array" ref="J37">IF(COUNTIF($I$2:I37, I37)=1, _xlfn.TEXTJOIN(", ", TRUE, _xlfn.UNIQUE(_xlfn._xlws.FILTER($F$2:$F$79, $I$2:$I$79=I37, ""))), "")</f>
        <v/>
      </c>
      <c r="K37" s="75" t="str" cm="1">
        <f t="array" ref="K37">IF(COUNTIF($I$2:I37,I37)=1,_xlfn.TEXTJOIN(", ",TRUE,IF($I$2:$I$79=I37,$G$2:$G$79,"")),"")</f>
        <v/>
      </c>
      <c r="L37" s="79" t="str">
        <f t="array" ref="L37">IF(COUNTIF($I$2:I37,I37)=1,I37,"")</f>
        <v/>
      </c>
      <c r="M37" s="80" t="str">
        <f t="array" ref="M37">IF(COUNTIF($H$2:H37,H37)=1,H37,"")</f>
        <v/>
      </c>
      <c r="N37" s="72"/>
    </row>
    <row r="38" spans="1:18" ht="15.75" thickBot="1">
      <c r="A38" s="73" t="str" cm="1">
        <f t="array" ref="A38">INDEX(Final!$Z$1:$CY$1, LOOKUP(ROW(A37), {1,14,58,67,73,76}, {1,14,58,67,73,76}))</f>
        <v>B : Sewing</v>
      </c>
      <c r="B38" s="73" t="str">
        <f>INDEX(Final!$Z$2:$CY$2, ROW()-ROW($B$2)+1)</f>
        <v>24.Mislocated bar-tack</v>
      </c>
      <c r="C38" s="74" t="e">
        <f>IF(ISBLANK(D38),"",D38/Final!$W$4)</f>
        <v>#DIV/0!</v>
      </c>
      <c r="D38" s="85">
        <f>INDEX(Final!$Z$4:$CY$4, ROW()-ROW($D$2)+1)</f>
        <v>0</v>
      </c>
      <c r="E38" s="87" t="e">
        <f>IF(C38="",COUNT($C$2:$C$79) + ROW()-ROW($C$2) + 1 - COUNT($C$2:C38),RANK(C38,$C$2:$C$79,0) + COUNTIF($C$2:C38,C38) - 1)</f>
        <v>#DIV/0!</v>
      </c>
      <c r="F38" s="89" t="e">
        <f t="shared" si="4"/>
        <v>#N/A</v>
      </c>
      <c r="G38" s="106" t="e">
        <f t="shared" si="5"/>
        <v>#N/A</v>
      </c>
      <c r="H38" s="108" t="e">
        <f>IF(ISBLANK(D38),"",D38/Final!$W$4)</f>
        <v>#DIV/0!</v>
      </c>
      <c r="I38" s="91" t="e">
        <f t="shared" si="2"/>
        <v>#N/A</v>
      </c>
      <c r="J38" s="110" t="str" cm="1">
        <f t="array" ref="J38">IF(COUNTIF($I$2:I38, I38)=1, _xlfn.TEXTJOIN(", ", TRUE, _xlfn.UNIQUE(_xlfn._xlws.FILTER($F$2:$F$79, $I$2:$I$79=I38, ""))), "")</f>
        <v/>
      </c>
      <c r="K38" s="75" t="str" cm="1">
        <f t="array" ref="K38">IF(COUNTIF($I$2:I38,I38)=1,_xlfn.TEXTJOIN(", ",TRUE,IF($I$2:$I$79=I38,$G$2:$G$79,"")),"")</f>
        <v/>
      </c>
      <c r="L38" s="82" t="str">
        <f t="array" ref="L38">IF(COUNTIF($I$2:I38,I38)=1,I38,"")</f>
        <v/>
      </c>
      <c r="M38" s="83" t="str">
        <f t="array" ref="M38">IF(COUNTIF($H$2:H38,H38)=1,H38,"")</f>
        <v/>
      </c>
      <c r="N38" s="72"/>
    </row>
    <row r="39" spans="1:18">
      <c r="A39" s="73" t="str" cm="1">
        <f t="array" ref="A39">INDEX(Final!$Z$1:$CY$1, LOOKUP(ROW(A38), {1,14,58,67,73,76}, {1,14,58,67,73,76}))</f>
        <v>B : Sewing</v>
      </c>
      <c r="B39" s="73" t="str">
        <f>INDEX(Final!$Z$2:$CY$2, ROW()-ROW($B$2)+1)</f>
        <v>25.Incorrect thread tension</v>
      </c>
      <c r="C39" s="74" t="e">
        <f>IF(ISBLANK(D39),"",D39/Final!$W$4)</f>
        <v>#DIV/0!</v>
      </c>
      <c r="D39" s="85">
        <f>INDEX(Final!$Z$4:$CY$4, ROW()-ROW($D$2)+1)</f>
        <v>0</v>
      </c>
      <c r="E39" s="87" t="e">
        <f>IF(C39="",COUNT($C$2:$C$79) + ROW()-ROW($C$2) + 1 - COUNT($C$2:C39),RANK(C39,$C$2:$C$79,0) + COUNTIF($C$2:C39,C39) - 1)</f>
        <v>#DIV/0!</v>
      </c>
      <c r="F39" s="89" t="e">
        <f t="shared" si="4"/>
        <v>#N/A</v>
      </c>
      <c r="G39" s="106" t="e">
        <f t="shared" si="5"/>
        <v>#N/A</v>
      </c>
      <c r="H39" s="108" t="e">
        <f>IF(ISBLANK(D39),"",D39/Final!$W$4)</f>
        <v>#DIV/0!</v>
      </c>
      <c r="I39" s="91" t="e">
        <f t="shared" si="2"/>
        <v>#N/A</v>
      </c>
    </row>
    <row r="40" spans="1:18">
      <c r="A40" s="73" t="str" cm="1">
        <f t="array" ref="A40">INDEX(Final!$Z$1:$CY$1, LOOKUP(ROW(A39), {1,14,58,67,73,76}, {1,14,58,67,73,76}))</f>
        <v>B : Sewing</v>
      </c>
      <c r="B40" s="73" t="str">
        <f>INDEX(Final!$Z$2:$CY$2, ROW()-ROW($B$2)+1)</f>
        <v>26.Falling off of a thread</v>
      </c>
      <c r="C40" s="74" t="e">
        <f>IF(ISBLANK(D40),"",D40/Final!$W$4)</f>
        <v>#DIV/0!</v>
      </c>
      <c r="D40" s="85">
        <f>INDEX(Final!$Z$4:$CY$4, ROW()-ROW($D$2)+1)</f>
        <v>0</v>
      </c>
      <c r="E40" s="87" t="e">
        <f>IF(C40="",COUNT($C$2:$C$79) + ROW()-ROW($C$2) + 1 - COUNT($C$2:C40),RANK(C40,$C$2:$C$79,0) + COUNTIF($C$2:C40,C40) - 1)</f>
        <v>#DIV/0!</v>
      </c>
      <c r="F40" s="89" t="e">
        <f t="shared" si="4"/>
        <v>#N/A</v>
      </c>
      <c r="G40" s="106" t="e">
        <f t="shared" si="5"/>
        <v>#N/A</v>
      </c>
      <c r="H40" s="108" t="e">
        <f>IF(ISBLANK(D40),"",D40/Final!$W$4)</f>
        <v>#DIV/0!</v>
      </c>
      <c r="I40" s="91" t="e">
        <f t="shared" si="2"/>
        <v>#N/A</v>
      </c>
    </row>
    <row r="41" spans="1:18">
      <c r="A41" s="73" t="str" cm="1">
        <f t="array" ref="A41">INDEX(Final!$Z$1:$CY$1, LOOKUP(ROW(A40), {1,14,58,67,73,76}, {1,14,58,67,73,76}))</f>
        <v>B : Sewing</v>
      </c>
      <c r="B41" s="73" t="str">
        <f>INDEX(Final!$Z$2:$CY$2, ROW()-ROW($B$2)+1)</f>
        <v>27.Lack of reverse stitch</v>
      </c>
      <c r="C41" s="74" t="e">
        <f>IF(ISBLANK(D41),"",D41/Final!$W$4)</f>
        <v>#DIV/0!</v>
      </c>
      <c r="D41" s="85">
        <f>INDEX(Final!$Z$4:$CY$4, ROW()-ROW($D$2)+1)</f>
        <v>0</v>
      </c>
      <c r="E41" s="87" t="e">
        <f>IF(C41="",COUNT($C$2:$C$79) + ROW()-ROW($C$2) + 1 - COUNT($C$2:C41),RANK(C41,$C$2:$C$79,0) + COUNTIF($C$2:C41,C41) - 1)</f>
        <v>#DIV/0!</v>
      </c>
      <c r="F41" s="89" t="e">
        <f t="shared" si="4"/>
        <v>#N/A</v>
      </c>
      <c r="G41" s="106" t="e">
        <f t="shared" si="5"/>
        <v>#N/A</v>
      </c>
      <c r="H41" s="108" t="e">
        <f>IF(ISBLANK(D41),"",D41/Final!$W$4)</f>
        <v>#DIV/0!</v>
      </c>
      <c r="I41" s="91" t="e">
        <f t="shared" si="2"/>
        <v>#N/A</v>
      </c>
    </row>
    <row r="42" spans="1:18">
      <c r="A42" s="73" t="str" cm="1">
        <f t="array" ref="A42">INDEX(Final!$Z$1:$CY$1, LOOKUP(ROW(A41), {1,14,58,67,73,76}, {1,14,58,67,73,76}))</f>
        <v>B : Sewing</v>
      </c>
      <c r="B42" s="73" t="str">
        <f>INDEX(Final!$Z$2:$CY$2, ROW()-ROW($B$2)+1)</f>
        <v>28.Incorrect easing</v>
      </c>
      <c r="C42" s="74" t="e">
        <f>IF(ISBLANK(D42),"",D42/Final!$W$4)</f>
        <v>#DIV/0!</v>
      </c>
      <c r="D42" s="85">
        <f>INDEX(Final!$Z$4:$CY$4, ROW()-ROW($D$2)+1)</f>
        <v>0</v>
      </c>
      <c r="E42" s="87" t="e">
        <f>IF(C42="",COUNT($C$2:$C$79) + ROW()-ROW($C$2) + 1 - COUNT($C$2:C42),RANK(C42,$C$2:$C$79,0) + COUNTIF($C$2:C42,C42) - 1)</f>
        <v>#DIV/0!</v>
      </c>
      <c r="F42" s="89" t="e">
        <f t="shared" si="4"/>
        <v>#N/A</v>
      </c>
      <c r="G42" s="106" t="e">
        <f t="shared" si="5"/>
        <v>#N/A</v>
      </c>
      <c r="H42" s="108" t="e">
        <f>IF(ISBLANK(D42),"",D42/Final!$W$4)</f>
        <v>#DIV/0!</v>
      </c>
      <c r="I42" s="91" t="e">
        <f t="shared" si="2"/>
        <v>#N/A</v>
      </c>
    </row>
    <row r="43" spans="1:18">
      <c r="A43" s="73" t="str" cm="1">
        <f t="array" ref="A43">INDEX(Final!$Z$1:$CY$1, LOOKUP(ROW(A42), {1,14,58,67,73,76}, {1,14,58,67,73,76}))</f>
        <v>B : Sewing</v>
      </c>
      <c r="B43" s="73" t="str">
        <f>INDEX(Final!$Z$2:$CY$2, ROW()-ROW($B$2)+1)</f>
        <v>29.Piecing defect</v>
      </c>
      <c r="C43" s="74" t="e">
        <f>IF(ISBLANK(D43),"",D43/Final!$W$4)</f>
        <v>#DIV/0!</v>
      </c>
      <c r="D43" s="85">
        <f>INDEX(Final!$Z$4:$CY$4, ROW()-ROW($D$2)+1)</f>
        <v>0</v>
      </c>
      <c r="E43" s="87" t="e">
        <f>IF(C43="",COUNT($C$2:$C$79) + ROW()-ROW($C$2) + 1 - COUNT($C$2:C43),RANK(C43,$C$2:$C$79,0) + COUNTIF($C$2:C43,C43) - 1)</f>
        <v>#DIV/0!</v>
      </c>
      <c r="F43" s="89" t="e">
        <f t="shared" si="4"/>
        <v>#N/A</v>
      </c>
      <c r="G43" s="106" t="e">
        <f t="shared" si="5"/>
        <v>#N/A</v>
      </c>
      <c r="H43" s="108" t="e">
        <f>IF(ISBLANK(D43),"",D43/Final!$W$4)</f>
        <v>#DIV/0!</v>
      </c>
      <c r="I43" s="91" t="e">
        <f t="shared" si="2"/>
        <v>#N/A</v>
      </c>
    </row>
    <row r="44" spans="1:18">
      <c r="A44" s="73" t="str" cm="1">
        <f t="array" ref="A44">INDEX(Final!$Z$1:$CY$1, LOOKUP(ROW(A43), {1,14,58,67,73,76}, {1,14,58,67,73,76}))</f>
        <v>B : Sewing</v>
      </c>
      <c r="B44" s="73" t="str">
        <f>INDEX(Final!$Z$2:$CY$2, ROW()-ROW($B$2)+1)</f>
        <v>30.Incorrect lapped seam</v>
      </c>
      <c r="C44" s="74" t="e">
        <f>IF(ISBLANK(D44),"",D44/Final!$W$4)</f>
        <v>#DIV/0!</v>
      </c>
      <c r="D44" s="85">
        <f>INDEX(Final!$Z$4:$CY$4, ROW()-ROW($D$2)+1)</f>
        <v>0</v>
      </c>
      <c r="E44" s="87" t="e">
        <f>IF(C44="",COUNT($C$2:$C$79) + ROW()-ROW($C$2) + 1 - COUNT($C$2:C44),RANK(C44,$C$2:$C$79,0) + COUNTIF($C$2:C44,C44) - 1)</f>
        <v>#DIV/0!</v>
      </c>
      <c r="F44" s="89" t="e">
        <f t="shared" si="4"/>
        <v>#N/A</v>
      </c>
      <c r="G44" s="106" t="e">
        <f t="shared" si="5"/>
        <v>#N/A</v>
      </c>
      <c r="H44" s="108" t="e">
        <f>IF(ISBLANK(D44),"",D44/Final!$W$4)</f>
        <v>#DIV/0!</v>
      </c>
      <c r="I44" s="91" t="e">
        <f t="shared" si="2"/>
        <v>#N/A</v>
      </c>
    </row>
    <row r="45" spans="1:18">
      <c r="A45" s="73" t="str" cm="1">
        <f t="array" ref="A45">INDEX(Final!$Z$1:$CY$1, LOOKUP(ROW(A44), {1,14,58,67,73,76}, {1,14,58,67,73,76}))</f>
        <v>B : Sewing</v>
      </c>
      <c r="B45" s="73" t="str">
        <f>INDEX(Final!$Z$2:$CY$2, ROW()-ROW($B$2)+1)</f>
        <v>31.Incorrect trimming</v>
      </c>
      <c r="C45" s="74" t="e">
        <f>IF(ISBLANK(D45),"",D45/Final!$W$4)</f>
        <v>#DIV/0!</v>
      </c>
      <c r="D45" s="85">
        <f>INDEX(Final!$Z$4:$CY$4, ROW()-ROW($D$2)+1)</f>
        <v>0</v>
      </c>
      <c r="E45" s="87" t="e">
        <f>IF(C45="",COUNT($C$2:$C$79) + ROW()-ROW($C$2) + 1 - COUNT($C$2:C45),RANK(C45,$C$2:$C$79,0) + COUNTIF($C$2:C45,C45) - 1)</f>
        <v>#DIV/0!</v>
      </c>
      <c r="F45" s="89" t="e">
        <f t="shared" si="4"/>
        <v>#N/A</v>
      </c>
      <c r="G45" s="106" t="e">
        <f t="shared" si="5"/>
        <v>#N/A</v>
      </c>
      <c r="H45" s="108" t="e">
        <f>IF(ISBLANK(D45),"",D45/Final!$W$4)</f>
        <v>#DIV/0!</v>
      </c>
      <c r="I45" s="91" t="e">
        <f t="shared" si="2"/>
        <v>#N/A</v>
      </c>
    </row>
    <row r="46" spans="1:18">
      <c r="A46" s="73" t="str" cm="1">
        <f t="array" ref="A46">INDEX(Final!$Z$1:$CY$1, LOOKUP(ROW(A45), {1,14,58,67,73,76}, {1,14,58,67,73,76}))</f>
        <v>B : Sewing</v>
      </c>
      <c r="B46" s="73" t="str">
        <f>INDEX(Final!$Z$2:$CY$2, ROW()-ROW($B$2)+1)</f>
        <v>32.Lack of strength</v>
      </c>
      <c r="C46" s="74" t="e">
        <f>IF(ISBLANK(D46),"",D46/Final!$W$4)</f>
        <v>#DIV/0!</v>
      </c>
      <c r="D46" s="85">
        <f>INDEX(Final!$Z$4:$CY$4, ROW()-ROW($D$2)+1)</f>
        <v>0</v>
      </c>
      <c r="E46" s="87" t="e">
        <f>IF(C46="",COUNT($C$2:$C$79) + ROW()-ROW($C$2) + 1 - COUNT($C$2:C46),RANK(C46,$C$2:$C$79,0) + COUNTIF($C$2:C46,C46) - 1)</f>
        <v>#DIV/0!</v>
      </c>
      <c r="F46" s="89" t="e">
        <f t="shared" si="4"/>
        <v>#N/A</v>
      </c>
      <c r="G46" s="106" t="e">
        <f t="shared" si="5"/>
        <v>#N/A</v>
      </c>
      <c r="H46" s="108" t="e">
        <f>IF(ISBLANK(D46),"",D46/Final!$W$4)</f>
        <v>#DIV/0!</v>
      </c>
      <c r="I46" s="91" t="e">
        <f t="shared" si="2"/>
        <v>#N/A</v>
      </c>
    </row>
    <row r="47" spans="1:18">
      <c r="A47" s="73" t="str" cm="1">
        <f t="array" ref="A47">INDEX(Final!$Z$1:$CY$1, LOOKUP(ROW(A46), {1,14,58,67,73,76}, {1,14,58,67,73,76}))</f>
        <v>B : Sewing</v>
      </c>
      <c r="B47" s="73" t="str">
        <f>INDEX(Final!$Z$2:$CY$2, ROW()-ROW($B$2)+1)</f>
        <v>33.Incorrect buttonhole sewing</v>
      </c>
      <c r="C47" s="74" t="e">
        <f>IF(ISBLANK(D47),"",D47/Final!$W$4)</f>
        <v>#DIV/0!</v>
      </c>
      <c r="D47" s="85">
        <f>INDEX(Final!$Z$4:$CY$4, ROW()-ROW($D$2)+1)</f>
        <v>0</v>
      </c>
      <c r="E47" s="87" t="e">
        <f>IF(C47="",COUNT($C$2:$C$79) + ROW()-ROW($C$2) + 1 - COUNT($C$2:C47),RANK(C47,$C$2:$C$79,0) + COUNTIF($C$2:C47,C47) - 1)</f>
        <v>#DIV/0!</v>
      </c>
      <c r="F47" s="89" t="e">
        <f t="shared" si="4"/>
        <v>#N/A</v>
      </c>
      <c r="G47" s="106" t="e">
        <f t="shared" si="5"/>
        <v>#N/A</v>
      </c>
      <c r="H47" s="108" t="e">
        <f>IF(ISBLANK(D47),"",D47/Final!$W$4)</f>
        <v>#DIV/0!</v>
      </c>
      <c r="I47" s="91" t="e">
        <f t="shared" si="2"/>
        <v>#N/A</v>
      </c>
    </row>
    <row r="48" spans="1:18">
      <c r="A48" s="73" t="str" cm="1">
        <f t="array" ref="A48">INDEX(Final!$Z$1:$CY$1, LOOKUP(ROW(A47), {1,14,58,67,73,76}, {1,14,58,67,73,76}))</f>
        <v>B : Sewing</v>
      </c>
      <c r="B48" s="73" t="str">
        <f>INDEX(Final!$Z$2:$CY$2, ROW()-ROW($B$2)+1)</f>
        <v>34.Incorrect brand label sewing</v>
      </c>
      <c r="C48" s="74" t="e">
        <f>IF(ISBLANK(D48),"",D48/Final!$W$4)</f>
        <v>#DIV/0!</v>
      </c>
      <c r="D48" s="85">
        <f>INDEX(Final!$Z$4:$CY$4, ROW()-ROW($D$2)+1)</f>
        <v>0</v>
      </c>
      <c r="E48" s="87" t="e">
        <f>IF(C48="",COUNT($C$2:$C$79) + ROW()-ROW($C$2) + 1 - COUNT($C$2:C48),RANK(C48,$C$2:$C$79,0) + COUNTIF($C$2:C48,C48) - 1)</f>
        <v>#DIV/0!</v>
      </c>
      <c r="F48" s="89" t="e">
        <f t="shared" si="4"/>
        <v>#N/A</v>
      </c>
      <c r="G48" s="106" t="e">
        <f t="shared" si="5"/>
        <v>#N/A</v>
      </c>
      <c r="H48" s="108" t="e">
        <f>IF(ISBLANK(D48),"",D48/Final!$W$4)</f>
        <v>#DIV/0!</v>
      </c>
      <c r="I48" s="91" t="e">
        <f t="shared" si="2"/>
        <v>#N/A</v>
      </c>
    </row>
    <row r="49" spans="1:9">
      <c r="A49" s="73" t="str" cm="1">
        <f t="array" ref="A49">INDEX(Final!$Z$1:$CY$1, LOOKUP(ROW(A48), {1,14,58,67,73,76}, {1,14,58,67,73,76}))</f>
        <v>B : Sewing</v>
      </c>
      <c r="B49" s="73" t="str">
        <f>INDEX(Final!$Z$2:$CY$2, ROW()-ROW($B$2)+1)</f>
        <v>35.Sewing slip</v>
      </c>
      <c r="C49" s="74" t="e">
        <f>IF(ISBLANK(D49),"",D49/Final!$W$4)</f>
        <v>#DIV/0!</v>
      </c>
      <c r="D49" s="85">
        <f>INDEX(Final!$Z$4:$CY$4, ROW()-ROW($D$2)+1)</f>
        <v>0</v>
      </c>
      <c r="E49" s="87" t="e">
        <f>IF(C49="",COUNT($C$2:$C$79) + ROW()-ROW($C$2) + 1 - COUNT($C$2:C49),RANK(C49,$C$2:$C$79,0) + COUNTIF($C$2:C49,C49) - 1)</f>
        <v>#DIV/0!</v>
      </c>
      <c r="F49" s="89" t="e">
        <f t="shared" si="4"/>
        <v>#N/A</v>
      </c>
      <c r="G49" s="106" t="e">
        <f t="shared" si="5"/>
        <v>#N/A</v>
      </c>
      <c r="H49" s="108" t="e">
        <f>IF(ISBLANK(D49),"",D49/Final!$W$4)</f>
        <v>#DIV/0!</v>
      </c>
      <c r="I49" s="91" t="e">
        <f t="shared" si="2"/>
        <v>#N/A</v>
      </c>
    </row>
    <row r="50" spans="1:9">
      <c r="A50" s="73" t="str" cm="1">
        <f t="array" ref="A50">INDEX(Final!$Z$1:$CY$1, LOOKUP(ROW(A49), {1,14,58,67,73,76}, {1,14,58,67,73,76}))</f>
        <v>B : Sewing</v>
      </c>
      <c r="B50" s="73" t="str">
        <f>INDEX(Final!$Z$2:$CY$2, ROW()-ROW($B$2)+1)</f>
        <v>36.Incorrect position</v>
      </c>
      <c r="C50" s="74" t="e">
        <f>IF(ISBLANK(D50),"",D50/Final!$W$4)</f>
        <v>#DIV/0!</v>
      </c>
      <c r="D50" s="85">
        <f>INDEX(Final!$Z$4:$CY$4, ROW()-ROW($D$2)+1)</f>
        <v>0</v>
      </c>
      <c r="E50" s="87" t="e">
        <f>IF(C50="",COUNT($C$2:$C$79) + ROW()-ROW($C$2) + 1 - COUNT($C$2:C50),RANK(C50,$C$2:$C$79,0) + COUNTIF($C$2:C50,C50) - 1)</f>
        <v>#DIV/0!</v>
      </c>
      <c r="F50" s="89" t="e">
        <f t="shared" si="4"/>
        <v>#N/A</v>
      </c>
      <c r="G50" s="106" t="e">
        <f t="shared" si="5"/>
        <v>#N/A</v>
      </c>
      <c r="H50" s="108" t="e">
        <f>IF(ISBLANK(D50),"",D50/Final!$W$4)</f>
        <v>#DIV/0!</v>
      </c>
      <c r="I50" s="91" t="e">
        <f t="shared" si="2"/>
        <v>#N/A</v>
      </c>
    </row>
    <row r="51" spans="1:9">
      <c r="A51" s="73" t="str" cm="1">
        <f t="array" ref="A51">INDEX(Final!$Z$1:$CY$1, LOOKUP(ROW(A50), {1,14,58,67,73,76}, {1,14,58,67,73,76}))</f>
        <v>B : Sewing</v>
      </c>
      <c r="B51" s="73" t="str">
        <f>INDEX(Final!$Z$2:$CY$2, ROW()-ROW($B$2)+1)</f>
        <v>37.Incorrect pattern matching</v>
      </c>
      <c r="C51" s="74" t="e">
        <f>IF(ISBLANK(D51),"",D51/Final!$W$4)</f>
        <v>#DIV/0!</v>
      </c>
      <c r="D51" s="85">
        <f>INDEX(Final!$Z$4:$CY$4, ROW()-ROW($D$2)+1)</f>
        <v>0</v>
      </c>
      <c r="E51" s="87" t="e">
        <f>IF(C51="",COUNT($C$2:$C$79) + ROW()-ROW($C$2) + 1 - COUNT($C$2:C51),RANK(C51,$C$2:$C$79,0) + COUNTIF($C$2:C51,C51) - 1)</f>
        <v>#DIV/0!</v>
      </c>
      <c r="F51" s="89" t="e">
        <f t="shared" si="4"/>
        <v>#N/A</v>
      </c>
      <c r="G51" s="106" t="e">
        <f t="shared" si="5"/>
        <v>#N/A</v>
      </c>
      <c r="H51" s="108" t="e">
        <f>IF(ISBLANK(D51),"",D51/Final!$W$4)</f>
        <v>#DIV/0!</v>
      </c>
      <c r="I51" s="91" t="e">
        <f t="shared" si="2"/>
        <v>#N/A</v>
      </c>
    </row>
    <row r="52" spans="1:9">
      <c r="A52" s="73" t="str" cm="1">
        <f t="array" ref="A52">INDEX(Final!$Z$1:$CY$1, LOOKUP(ROW(A51), {1,14,58,67,73,76}, {1,14,58,67,73,76}))</f>
        <v>B : Sewing</v>
      </c>
      <c r="B52" s="73" t="str">
        <f>INDEX(Final!$Z$2:$CY$2, ROW()-ROW($B$2)+1)</f>
        <v>38.Peel off glue/delamination</v>
      </c>
      <c r="C52" s="74" t="e">
        <f>IF(ISBLANK(D52),"",D52/Final!$W$4)</f>
        <v>#DIV/0!</v>
      </c>
      <c r="D52" s="85">
        <f>INDEX(Final!$Z$4:$CY$4, ROW()-ROW($D$2)+1)</f>
        <v>0</v>
      </c>
      <c r="E52" s="87" t="e">
        <f>IF(C52="",COUNT($C$2:$C$79) + ROW()-ROW($C$2) + 1 - COUNT($C$2:C52),RANK(C52,$C$2:$C$79,0) + COUNTIF($C$2:C52,C52) - 1)</f>
        <v>#DIV/0!</v>
      </c>
      <c r="F52" s="89" t="e">
        <f t="shared" si="4"/>
        <v>#N/A</v>
      </c>
      <c r="G52" s="106" t="e">
        <f t="shared" si="5"/>
        <v>#N/A</v>
      </c>
      <c r="H52" s="108" t="e">
        <f>IF(ISBLANK(D52),"",D52/Final!$W$4)</f>
        <v>#DIV/0!</v>
      </c>
      <c r="I52" s="91" t="e">
        <f t="shared" si="2"/>
        <v>#N/A</v>
      </c>
    </row>
    <row r="53" spans="1:9">
      <c r="A53" s="73" t="str" cm="1">
        <f t="array" ref="A53">INDEX(Final!$Z$1:$CY$1, LOOKUP(ROW(A52), {1,14,58,67,73,76}, {1,14,58,67,73,76}))</f>
        <v>B : Sewing</v>
      </c>
      <c r="B53" s="73" t="str">
        <f>INDEX(Final!$Z$2:$CY$2, ROW()-ROW($B$2)+1)</f>
        <v>39.Visible/see through glue</v>
      </c>
      <c r="C53" s="74" t="e">
        <f>IF(ISBLANK(D53),"",D53/Final!$W$4)</f>
        <v>#DIV/0!</v>
      </c>
      <c r="D53" s="85">
        <f>INDEX(Final!$Z$4:$CY$4, ROW()-ROW($D$2)+1)</f>
        <v>0</v>
      </c>
      <c r="E53" s="87" t="e">
        <f>IF(C53="",COUNT($C$2:$C$79) + ROW()-ROW($C$2) + 1 - COUNT($C$2:C53),RANK(C53,$C$2:$C$79,0) + COUNTIF($C$2:C53,C53) - 1)</f>
        <v>#DIV/0!</v>
      </c>
      <c r="F53" s="89" t="e">
        <f t="shared" si="4"/>
        <v>#N/A</v>
      </c>
      <c r="G53" s="106" t="e">
        <f t="shared" si="5"/>
        <v>#N/A</v>
      </c>
      <c r="H53" s="108" t="e">
        <f>IF(ISBLANK(D53),"",D53/Final!$W$4)</f>
        <v>#DIV/0!</v>
      </c>
      <c r="I53" s="91" t="e">
        <f t="shared" si="2"/>
        <v>#N/A</v>
      </c>
    </row>
    <row r="54" spans="1:9">
      <c r="A54" s="73" t="str" cm="1">
        <f t="array" ref="A54">INDEX(Final!$Z$1:$CY$1, LOOKUP(ROW(A53), {1,14,58,67,73,76}, {1,14,58,67,73,76}))</f>
        <v>B : Sewing</v>
      </c>
      <c r="B54" s="73" t="str">
        <f>INDEX(Final!$Z$2:$CY$2, ROW()-ROW($B$2)+1)</f>
        <v>40.Bonding seam uneven/wavy</v>
      </c>
      <c r="C54" s="74" t="e">
        <f>IF(ISBLANK(D54),"",D54/Final!$W$4)</f>
        <v>#DIV/0!</v>
      </c>
      <c r="D54" s="85">
        <f>INDEX(Final!$Z$4:$CY$4, ROW()-ROW($D$2)+1)</f>
        <v>0</v>
      </c>
      <c r="E54" s="87" t="e">
        <f>IF(C54="",COUNT($C$2:$C$79) + ROW()-ROW($C$2) + 1 - COUNT($C$2:C54),RANK(C54,$C$2:$C$79,0) + COUNTIF($C$2:C54,C54) - 1)</f>
        <v>#DIV/0!</v>
      </c>
      <c r="F54" s="89" t="e">
        <f t="shared" si="4"/>
        <v>#N/A</v>
      </c>
      <c r="G54" s="106" t="e">
        <f t="shared" si="5"/>
        <v>#N/A</v>
      </c>
      <c r="H54" s="108" t="e">
        <f>IF(ISBLANK(D54),"",D54/Final!$W$4)</f>
        <v>#DIV/0!</v>
      </c>
      <c r="I54" s="91" t="e">
        <f t="shared" si="2"/>
        <v>#N/A</v>
      </c>
    </row>
    <row r="55" spans="1:9">
      <c r="A55" s="73" t="str" cm="1">
        <f t="array" ref="A55">INDEX(Final!$Z$1:$CY$1, LOOKUP(ROW(A54), {1,14,58,67,73,76}, {1,14,58,67,73,76}))</f>
        <v>B : Sewing</v>
      </c>
      <c r="B55" s="73" t="str">
        <f>INDEX(Final!$Z$2:$CY$2, ROW()-ROW($B$2)+1)</f>
        <v>41.Bonding seam not catch up/bad selvaged</v>
      </c>
      <c r="C55" s="74" t="e">
        <f>IF(ISBLANK(D55),"",D55/Final!$W$4)</f>
        <v>#DIV/0!</v>
      </c>
      <c r="D55" s="85">
        <f>INDEX(Final!$Z$4:$CY$4, ROW()-ROW($D$2)+1)</f>
        <v>0</v>
      </c>
      <c r="E55" s="87" t="e">
        <f>IF(C55="",COUNT($C$2:$C$79) + ROW()-ROW($C$2) + 1 - COUNT($C$2:C55),RANK(C55,$C$2:$C$79,0) + COUNTIF($C$2:C55,C55) - 1)</f>
        <v>#DIV/0!</v>
      </c>
      <c r="F55" s="89" t="e">
        <f t="shared" si="4"/>
        <v>#N/A</v>
      </c>
      <c r="G55" s="106" t="e">
        <f t="shared" si="5"/>
        <v>#N/A</v>
      </c>
      <c r="H55" s="108" t="e">
        <f>IF(ISBLANK(D55),"",D55/Final!$W$4)</f>
        <v>#DIV/0!</v>
      </c>
      <c r="I55" s="91" t="e">
        <f t="shared" si="2"/>
        <v>#N/A</v>
      </c>
    </row>
    <row r="56" spans="1:9">
      <c r="A56" s="73" t="str" cm="1">
        <f t="array" ref="A56">INDEX(Final!$Z$1:$CY$1, LOOKUP(ROW(A55), {1,14,58,67,73,76}, {1,14,58,67,73,76}))</f>
        <v>B : Sewing</v>
      </c>
      <c r="B56" s="73" t="str">
        <f>INDEX(Final!$Z$2:$CY$2, ROW()-ROW($B$2)+1)</f>
        <v>42.Stick glue/leaking glue</v>
      </c>
      <c r="C56" s="74" t="e">
        <f>IF(ISBLANK(D56),"",D56/Final!$W$4)</f>
        <v>#DIV/0!</v>
      </c>
      <c r="D56" s="85">
        <f>INDEX(Final!$Z$4:$CY$4, ROW()-ROW($D$2)+1)</f>
        <v>0</v>
      </c>
      <c r="E56" s="87" t="e">
        <f>IF(C56="",COUNT($C$2:$C$79) + ROW()-ROW($C$2) + 1 - COUNT($C$2:C56),RANK(C56,$C$2:$C$79,0) + COUNTIF($C$2:C56,C56) - 1)</f>
        <v>#DIV/0!</v>
      </c>
      <c r="F56" s="89" t="e">
        <f t="shared" si="4"/>
        <v>#N/A</v>
      </c>
      <c r="G56" s="106" t="e">
        <f t="shared" si="5"/>
        <v>#N/A</v>
      </c>
      <c r="H56" s="108" t="e">
        <f>IF(ISBLANK(D56),"",D56/Final!$W$4)</f>
        <v>#DIV/0!</v>
      </c>
      <c r="I56" s="91" t="e">
        <f t="shared" si="2"/>
        <v>#N/A</v>
      </c>
    </row>
    <row r="57" spans="1:9">
      <c r="A57" s="73" t="str" cm="1">
        <f t="array" ref="A57">INDEX(Final!$Z$1:$CY$1, LOOKUP(ROW(A56), {1,14,58,67,73,76}, {1,14,58,67,73,76}))</f>
        <v>B : Sewing</v>
      </c>
      <c r="B57" s="73" t="str">
        <f>INDEX(Final!$Z$2:$CY$2, ROW()-ROW($B$2)+1)</f>
        <v>43.Mold Shape</v>
      </c>
      <c r="C57" s="74" t="e">
        <f>IF(ISBLANK(D57),"",D57/Final!$W$4)</f>
        <v>#DIV/0!</v>
      </c>
      <c r="D57" s="85">
        <f>INDEX(Final!$Z$4:$CY$4, ROW()-ROW($D$2)+1)</f>
        <v>0</v>
      </c>
      <c r="E57" s="87" t="e">
        <f>IF(C57="",COUNT($C$2:$C$79) + ROW()-ROW($C$2) + 1 - COUNT($C$2:C57),RANK(C57,$C$2:$C$79,0) + COUNTIF($C$2:C57,C57) - 1)</f>
        <v>#DIV/0!</v>
      </c>
      <c r="F57" s="89" t="e">
        <f t="shared" si="4"/>
        <v>#N/A</v>
      </c>
      <c r="G57" s="106" t="e">
        <f t="shared" si="5"/>
        <v>#N/A</v>
      </c>
      <c r="H57" s="108" t="e">
        <f>IF(ISBLANK(D57),"",D57/Final!$W$4)</f>
        <v>#DIV/0!</v>
      </c>
      <c r="I57" s="91" t="e">
        <f t="shared" si="2"/>
        <v>#N/A</v>
      </c>
    </row>
    <row r="58" spans="1:9">
      <c r="A58" s="73" t="str" cm="1">
        <f t="array" ref="A58">INDEX(Final!$Z$1:$CY$1, LOOKUP(ROW(A57), {1,14,58,67,73,76}, {1,14,58,67,73,76}))</f>
        <v>B : Sewing</v>
      </c>
      <c r="B58" s="73" t="str">
        <f>INDEX(Final!$Z$2:$CY$2, ROW()-ROW($B$2)+1)</f>
        <v>44.Poor application glue position</v>
      </c>
      <c r="C58" s="74" t="e">
        <f>IF(ISBLANK(D58),"",D58/Final!$W$4)</f>
        <v>#DIV/0!</v>
      </c>
      <c r="D58" s="85">
        <f>INDEX(Final!$Z$4:$CY$4, ROW()-ROW($D$2)+1)</f>
        <v>0</v>
      </c>
      <c r="E58" s="87" t="e">
        <f>IF(C58="",COUNT($C$2:$C$79) + ROW()-ROW($C$2) + 1 - COUNT($C$2:C58),RANK(C58,$C$2:$C$79,0) + COUNTIF($C$2:C58,C58) - 1)</f>
        <v>#DIV/0!</v>
      </c>
      <c r="F58" s="89" t="e">
        <f t="shared" si="4"/>
        <v>#N/A</v>
      </c>
      <c r="G58" s="106" t="e">
        <f t="shared" si="5"/>
        <v>#N/A</v>
      </c>
      <c r="H58" s="108" t="e">
        <f>IF(ISBLANK(D58),"",D58/Final!$W$4)</f>
        <v>#DIV/0!</v>
      </c>
      <c r="I58" s="91" t="e">
        <f t="shared" si="2"/>
        <v>#N/A</v>
      </c>
    </row>
    <row r="59" spans="1:9">
      <c r="A59" s="73" t="str" cm="1">
        <f t="array" ref="A59">INDEX(Final!$Z$1:$CY$1, LOOKUP(ROW(A58), {1,14,58,67,73,76}, {1,14,58,67,73,76}))</f>
        <v>C : ACC</v>
      </c>
      <c r="B59" s="73" t="str">
        <f>INDEX(Final!$Z$2:$CY$2, ROW()-ROW($B$2)+1)</f>
        <v>1.Unsecured rivet and snap buttons</v>
      </c>
      <c r="C59" s="74" t="e">
        <f>IF(ISBLANK(D59),"",D59/Final!$W$4)</f>
        <v>#DIV/0!</v>
      </c>
      <c r="D59" s="85">
        <f>INDEX(Final!$Z$4:$CY$4, ROW()-ROW($D$2)+1)</f>
        <v>0</v>
      </c>
      <c r="E59" s="87" t="e">
        <f>IF(C59="",COUNT($C$2:$C$79) + ROW()-ROW($C$2) + 1 - COUNT($C$2:C59),RANK(C59,$C$2:$C$79,0) + COUNTIF($C$2:C59,C59) - 1)</f>
        <v>#DIV/0!</v>
      </c>
      <c r="F59" s="89" t="e">
        <f t="shared" si="4"/>
        <v>#N/A</v>
      </c>
      <c r="G59" s="106" t="e">
        <f t="shared" si="5"/>
        <v>#N/A</v>
      </c>
      <c r="H59" s="108" t="e">
        <f>IF(ISBLANK(D59),"",D59/Final!$W$4)</f>
        <v>#DIV/0!</v>
      </c>
      <c r="I59" s="91" t="e">
        <f t="shared" si="2"/>
        <v>#N/A</v>
      </c>
    </row>
    <row r="60" spans="1:9">
      <c r="A60" s="73" t="str" cm="1">
        <f t="array" ref="A60">INDEX(Final!$Z$1:$CY$1, LOOKUP(ROW(A59), {1,14,58,67,73,76}, {1,14,58,67,73,76}))</f>
        <v>C : ACC</v>
      </c>
      <c r="B60" s="73" t="str">
        <f>INDEX(Final!$Z$2:$CY$2, ROW()-ROW($B$2)+1)</f>
        <v>2.Incorrect swaging</v>
      </c>
      <c r="C60" s="74" t="e">
        <f>IF(ISBLANK(D60),"",D60/Final!$W$4)</f>
        <v>#DIV/0!</v>
      </c>
      <c r="D60" s="85">
        <f>INDEX(Final!$Z$4:$CY$4, ROW()-ROW($D$2)+1)</f>
        <v>0</v>
      </c>
      <c r="E60" s="87" t="e">
        <f>IF(C60="",COUNT($C$2:$C$79) + ROW()-ROW($C$2) + 1 - COUNT($C$2:C60),RANK(C60,$C$2:$C$79,0) + COUNTIF($C$2:C60,C60) - 1)</f>
        <v>#DIV/0!</v>
      </c>
      <c r="F60" s="89" t="e">
        <f t="shared" si="4"/>
        <v>#N/A</v>
      </c>
      <c r="G60" s="106" t="e">
        <f t="shared" si="5"/>
        <v>#N/A</v>
      </c>
      <c r="H60" s="108" t="e">
        <f>IF(ISBLANK(D60),"",D60/Final!$W$4)</f>
        <v>#DIV/0!</v>
      </c>
      <c r="I60" s="91" t="e">
        <f t="shared" si="2"/>
        <v>#N/A</v>
      </c>
    </row>
    <row r="61" spans="1:9">
      <c r="A61" s="73" t="str" cm="1">
        <f t="array" ref="A61">INDEX(Final!$Z$1:$CY$1, LOOKUP(ROW(A60), {1,14,58,67,73,76}, {1,14,58,67,73,76}))</f>
        <v>C : ACC</v>
      </c>
      <c r="B61" s="73" t="str">
        <f>INDEX(Final!$Z$2:$CY$2, ROW()-ROW($B$2)+1)</f>
        <v>3.Falling off of buttons</v>
      </c>
      <c r="C61" s="74" t="e">
        <f>IF(ISBLANK(D61),"",D61/Final!$W$4)</f>
        <v>#DIV/0!</v>
      </c>
      <c r="D61" s="85">
        <f>INDEX(Final!$Z$4:$CY$4, ROW()-ROW($D$2)+1)</f>
        <v>0</v>
      </c>
      <c r="E61" s="87" t="e">
        <f>IF(C61="",COUNT($C$2:$C$79) + ROW()-ROW($C$2) + 1 - COUNT($C$2:C61),RANK(C61,$C$2:$C$79,0) + COUNTIF($C$2:C61,C61) - 1)</f>
        <v>#DIV/0!</v>
      </c>
      <c r="F61" s="89" t="e">
        <f t="shared" si="4"/>
        <v>#N/A</v>
      </c>
      <c r="G61" s="106" t="e">
        <f t="shared" si="5"/>
        <v>#N/A</v>
      </c>
      <c r="H61" s="108" t="e">
        <f>IF(ISBLANK(D61),"",D61/Final!$W$4)</f>
        <v>#DIV/0!</v>
      </c>
      <c r="I61" s="91" t="e">
        <f t="shared" si="2"/>
        <v>#N/A</v>
      </c>
    </row>
    <row r="62" spans="1:9">
      <c r="A62" s="73" t="str" cm="1">
        <f t="array" ref="A62">INDEX(Final!$Z$1:$CY$1, LOOKUP(ROW(A61), {1,14,58,67,73,76}, {1,14,58,67,73,76}))</f>
        <v>C : ACC</v>
      </c>
      <c r="B62" s="73" t="str">
        <f>INDEX(Final!$Z$2:$CY$2, ROW()-ROW($B$2)+1)</f>
        <v>4.Burr</v>
      </c>
      <c r="C62" s="74" t="e">
        <f>IF(ISBLANK(D62),"",D62/Final!$W$4)</f>
        <v>#DIV/0!</v>
      </c>
      <c r="D62" s="85">
        <f>INDEX(Final!$Z$4:$CY$4, ROW()-ROW($D$2)+1)</f>
        <v>0</v>
      </c>
      <c r="E62" s="87" t="e">
        <f>IF(C62="",COUNT($C$2:$C$79) + ROW()-ROW($C$2) + 1 - COUNT($C$2:C62),RANK(C62,$C$2:$C$79,0) + COUNTIF($C$2:C62,C62) - 1)</f>
        <v>#DIV/0!</v>
      </c>
      <c r="F62" s="89" t="e">
        <f t="shared" si="4"/>
        <v>#N/A</v>
      </c>
      <c r="G62" s="106" t="e">
        <f t="shared" si="5"/>
        <v>#N/A</v>
      </c>
      <c r="H62" s="108" t="e">
        <f>IF(ISBLANK(D62),"",D62/Final!$W$4)</f>
        <v>#DIV/0!</v>
      </c>
      <c r="I62" s="91" t="e">
        <f t="shared" si="2"/>
        <v>#N/A</v>
      </c>
    </row>
    <row r="63" spans="1:9">
      <c r="A63" s="73" t="str" cm="1">
        <f t="array" ref="A63">INDEX(Final!$Z$1:$CY$1, LOOKUP(ROW(A62), {1,14,58,67,73,76}, {1,14,58,67,73,76}))</f>
        <v>C : ACC</v>
      </c>
      <c r="B63" s="73" t="str">
        <f>INDEX(Final!$Z$2:$CY$2, ROW()-ROW($B$2)+1)</f>
        <v>5.Incorrect zippers</v>
      </c>
      <c r="C63" s="74" t="e">
        <f>IF(ISBLANK(D63),"",D63/Final!$W$4)</f>
        <v>#DIV/0!</v>
      </c>
      <c r="D63" s="85">
        <f>INDEX(Final!$Z$4:$CY$4, ROW()-ROW($D$2)+1)</f>
        <v>0</v>
      </c>
      <c r="E63" s="87" t="e">
        <f>IF(C63="",COUNT($C$2:$C$79) + ROW()-ROW($C$2) + 1 - COUNT($C$2:C63),RANK(C63,$C$2:$C$79,0) + COUNTIF($C$2:C63,C63) - 1)</f>
        <v>#DIV/0!</v>
      </c>
      <c r="F63" s="89" t="e">
        <f t="shared" si="4"/>
        <v>#N/A</v>
      </c>
      <c r="G63" s="106" t="e">
        <f t="shared" si="5"/>
        <v>#N/A</v>
      </c>
      <c r="H63" s="108" t="e">
        <f>IF(ISBLANK(D63),"",D63/Final!$W$4)</f>
        <v>#DIV/0!</v>
      </c>
      <c r="I63" s="91" t="e">
        <f t="shared" si="2"/>
        <v>#N/A</v>
      </c>
    </row>
    <row r="64" spans="1:9">
      <c r="A64" s="73" t="str" cm="1">
        <f t="array" ref="A64">INDEX(Final!$Z$1:$CY$1, LOOKUP(ROW(A63), {1,14,58,67,73,76}, {1,14,58,67,73,76}))</f>
        <v>C : ACC</v>
      </c>
      <c r="B64" s="73" t="str">
        <f>INDEX(Final!$Z$2:$CY$2, ROW()-ROW($B$2)+1)</f>
        <v>6.Incorrect indication of sub materials</v>
      </c>
      <c r="C64" s="74" t="e">
        <f>IF(ISBLANK(D64),"",D64/Final!$W$4)</f>
        <v>#DIV/0!</v>
      </c>
      <c r="D64" s="85">
        <f>INDEX(Final!$Z$4:$CY$4, ROW()-ROW($D$2)+1)</f>
        <v>0</v>
      </c>
      <c r="E64" s="87" t="e">
        <f>IF(C64="",COUNT($C$2:$C$79) + ROW()-ROW($C$2) + 1 - COUNT($C$2:C64),RANK(C64,$C$2:$C$79,0) + COUNTIF($C$2:C64,C64) - 1)</f>
        <v>#DIV/0!</v>
      </c>
      <c r="F64" s="89" t="e">
        <f t="shared" si="4"/>
        <v>#N/A</v>
      </c>
      <c r="G64" s="106" t="e">
        <f t="shared" si="5"/>
        <v>#N/A</v>
      </c>
      <c r="H64" s="108" t="e">
        <f>IF(ISBLANK(D64),"",D64/Final!$W$4)</f>
        <v>#DIV/0!</v>
      </c>
      <c r="I64" s="91" t="e">
        <f t="shared" si="2"/>
        <v>#N/A</v>
      </c>
    </row>
    <row r="65" spans="1:9">
      <c r="A65" s="73" t="str" cm="1">
        <f t="array" ref="A65">INDEX(Final!$Z$1:$CY$1, LOOKUP(ROW(A64), {1,14,58,67,73,76}, {1,14,58,67,73,76}))</f>
        <v>C : ACC</v>
      </c>
      <c r="B65" s="73" t="str">
        <f>INDEX(Final!$Z$2:$CY$2, ROW()-ROW($B$2)+1)</f>
        <v>7.Incorrect quality of materials</v>
      </c>
      <c r="C65" s="74" t="e">
        <f>IF(ISBLANK(D65),"",D65/Final!$W$4)</f>
        <v>#DIV/0!</v>
      </c>
      <c r="D65" s="85">
        <f>INDEX(Final!$Z$4:$CY$4, ROW()-ROW($D$2)+1)</f>
        <v>0</v>
      </c>
      <c r="E65" s="87" t="e">
        <f>IF(C65="",COUNT($C$2:$C$79) + ROW()-ROW($C$2) + 1 - COUNT($C$2:C65),RANK(C65,$C$2:$C$79,0) + COUNTIF($C$2:C65,C65) - 1)</f>
        <v>#DIV/0!</v>
      </c>
      <c r="F65" s="89" t="e">
        <f t="shared" si="4"/>
        <v>#N/A</v>
      </c>
      <c r="G65" s="106" t="e">
        <f t="shared" si="5"/>
        <v>#N/A</v>
      </c>
      <c r="H65" s="108" t="e">
        <f>IF(ISBLANK(D65),"",D65/Final!$W$4)</f>
        <v>#DIV/0!</v>
      </c>
      <c r="I65" s="91" t="e">
        <f t="shared" si="2"/>
        <v>#N/A</v>
      </c>
    </row>
    <row r="66" spans="1:9">
      <c r="A66" s="73" t="str" cm="1">
        <f t="array" ref="A66">INDEX(Final!$Z$1:$CY$1, LOOKUP(ROW(A65), {1,14,58,67,73,76}, {1,14,58,67,73,76}))</f>
        <v>C : ACC</v>
      </c>
      <c r="B66" s="73" t="str">
        <f>INDEX(Final!$Z$2:$CY$2, ROW()-ROW($B$2)+1)</f>
        <v>8.Missing accessories</v>
      </c>
      <c r="C66" s="74" t="e">
        <f>IF(ISBLANK(D66),"",D66/Final!$W$4)</f>
        <v>#DIV/0!</v>
      </c>
      <c r="D66" s="85">
        <f>INDEX(Final!$Z$4:$CY$4, ROW()-ROW($D$2)+1)</f>
        <v>0</v>
      </c>
      <c r="E66" s="87" t="e">
        <f>IF(C66="",COUNT($C$2:$C$79) + ROW()-ROW($C$2) + 1 - COUNT($C$2:C66),RANK(C66,$C$2:$C$79,0) + COUNTIF($C$2:C66,C66) - 1)</f>
        <v>#DIV/0!</v>
      </c>
      <c r="F66" s="89" t="e">
        <f t="shared" ref="F66:F79" si="6">INDEX($A:$A, MATCH(G66, $B:$B, 0))</f>
        <v>#N/A</v>
      </c>
      <c r="G66" s="106" t="e">
        <f t="shared" ref="G66:G79" si="7">INDEX($B$2:$B$79,MATCH(ROW()-1,$E$2:$E$79,0))</f>
        <v>#N/A</v>
      </c>
      <c r="H66" s="108" t="e">
        <f>IF(ISBLANK(D66),"",D66/Final!$W$4)</f>
        <v>#DIV/0!</v>
      </c>
      <c r="I66" s="91" t="e">
        <f t="shared" si="2"/>
        <v>#N/A</v>
      </c>
    </row>
    <row r="67" spans="1:9">
      <c r="A67" s="73" t="str" cm="1">
        <f t="array" ref="A67">INDEX(Final!$Z$1:$CY$1, LOOKUP(ROW(A66), {1,14,58,67,73,76}, {1,14,58,67,73,76}))</f>
        <v>C : ACC</v>
      </c>
      <c r="B67" s="73" t="str">
        <f>INDEX(Final!$Z$2:$CY$2, ROW()-ROW($B$2)+1)</f>
        <v>9.Adhesive interlining</v>
      </c>
      <c r="C67" s="74" t="e">
        <f>IF(ISBLANK(D67),"",D67/Final!$W$4)</f>
        <v>#DIV/0!</v>
      </c>
      <c r="D67" s="85">
        <f>INDEX(Final!$Z$4:$CY$4, ROW()-ROW($D$2)+1)</f>
        <v>0</v>
      </c>
      <c r="E67" s="87" t="e">
        <f>IF(C67="",COUNT($C$2:$C$79) + ROW()-ROW($C$2) + 1 - COUNT($C$2:C67),RANK(C67,$C$2:$C$79,0) + COUNTIF($C$2:C67,C67) - 1)</f>
        <v>#DIV/0!</v>
      </c>
      <c r="F67" s="89" t="e">
        <f t="shared" si="6"/>
        <v>#N/A</v>
      </c>
      <c r="G67" s="106" t="e">
        <f t="shared" si="7"/>
        <v>#N/A</v>
      </c>
      <c r="H67" s="108" t="e">
        <f>IF(ISBLANK(D67),"",D67/Final!$W$4)</f>
        <v>#DIV/0!</v>
      </c>
      <c r="I67" s="91" t="e">
        <f t="shared" ref="I67:I79" si="8">IF(AND(INDEX($C$2:$C$79,MATCH(ROW()-1,$E$2:$E$79,0))=0,INDEX($D$2:$D$79,MATCH(ROW()-1,$E$2:$E$79,0))=0),"",INDEX($D$2:$D$79,MATCH(ROW()-1,$E$2:$E$79,0)))</f>
        <v>#N/A</v>
      </c>
    </row>
    <row r="68" spans="1:9">
      <c r="A68" s="73" t="str" cm="1">
        <f t="array" ref="A68">INDEX(Final!$Z$1:$CY$1, LOOKUP(ROW(A67), {1,14,58,67,73,76}, {1,14,58,67,73,76}))</f>
        <v>D : Finish</v>
      </c>
      <c r="B68" s="73" t="str">
        <f>INDEX(Final!$Z$2:$CY$2, ROW()-ROW($B$2)+1)</f>
        <v>1.Dust, lint</v>
      </c>
      <c r="C68" s="74" t="e">
        <f>IF(ISBLANK(D68),"",D68/Final!$W$4)</f>
        <v>#DIV/0!</v>
      </c>
      <c r="D68" s="85">
        <f>INDEX(Final!$Z$4:$CY$4, ROW()-ROW($D$2)+1)</f>
        <v>0</v>
      </c>
      <c r="E68" s="87" t="e">
        <f>IF(C68="",COUNT($C$2:$C$79) + ROW()-ROW($C$2) + 1 - COUNT($C$2:C68),RANK(C68,$C$2:$C$79,0) + COUNTIF($C$2:C68,C68) - 1)</f>
        <v>#DIV/0!</v>
      </c>
      <c r="F68" s="89" t="e">
        <f t="shared" si="6"/>
        <v>#N/A</v>
      </c>
      <c r="G68" s="106" t="e">
        <f t="shared" si="7"/>
        <v>#N/A</v>
      </c>
      <c r="H68" s="108" t="e">
        <f>IF(ISBLANK(D68),"",D68/Final!$W$4)</f>
        <v>#DIV/0!</v>
      </c>
      <c r="I68" s="91" t="e">
        <f t="shared" si="8"/>
        <v>#N/A</v>
      </c>
    </row>
    <row r="69" spans="1:9">
      <c r="A69" s="73" t="str" cm="1">
        <f t="array" ref="A69">INDEX(Final!$Z$1:$CY$1, LOOKUP(ROW(A68), {1,14,58,67,73,76}, {1,14,58,67,73,76}))</f>
        <v>D : Finish</v>
      </c>
      <c r="B69" s="73" t="str">
        <f>INDEX(Final!$Z$2:$CY$2, ROW()-ROW($B$2)+1)</f>
        <v>2.Smear, stain</v>
      </c>
      <c r="C69" s="74" t="e">
        <f>IF(ISBLANK(D69),"",D69/Final!$W$4)</f>
        <v>#DIV/0!</v>
      </c>
      <c r="D69" s="85">
        <f>INDEX(Final!$Z$4:$CY$4, ROW()-ROW($D$2)+1)</f>
        <v>0</v>
      </c>
      <c r="E69" s="87" t="e">
        <f>IF(C69="",COUNT($C$2:$C$79) + ROW()-ROW($C$2) + 1 - COUNT($C$2:C69),RANK(C69,$C$2:$C$79,0) + COUNTIF($C$2:C69,C69) - 1)</f>
        <v>#DIV/0!</v>
      </c>
      <c r="F69" s="89" t="e">
        <f t="shared" si="6"/>
        <v>#N/A</v>
      </c>
      <c r="G69" s="106" t="e">
        <f t="shared" si="7"/>
        <v>#N/A</v>
      </c>
      <c r="H69" s="108" t="e">
        <f>IF(ISBLANK(D69),"",D69/Final!$W$4)</f>
        <v>#DIV/0!</v>
      </c>
      <c r="I69" s="91" t="e">
        <f t="shared" si="8"/>
        <v>#N/A</v>
      </c>
    </row>
    <row r="70" spans="1:9">
      <c r="A70" s="73" t="str" cm="1">
        <f t="array" ref="A70">INDEX(Final!$Z$1:$CY$1, LOOKUP(ROW(A69), {1,14,58,67,73,76}, {1,14,58,67,73,76}))</f>
        <v>D : Finish</v>
      </c>
      <c r="B70" s="73" t="str">
        <f>INDEX(Final!$Z$2:$CY$2, ROW()-ROW($B$2)+1)</f>
        <v>3.Size</v>
      </c>
      <c r="C70" s="74" t="e">
        <f>IF(ISBLANK(D70),"",D70/Final!$W$4)</f>
        <v>#DIV/0!</v>
      </c>
      <c r="D70" s="85">
        <f>INDEX(Final!$Z$4:$CY$4, ROW()-ROW($D$2)+1)</f>
        <v>0</v>
      </c>
      <c r="E70" s="87" t="e">
        <f>IF(C70="",COUNT($C$2:$C$79) + ROW()-ROW($C$2) + 1 - COUNT($C$2:C70),RANK(C70,$C$2:$C$79,0) + COUNTIF($C$2:C70,C70) - 1)</f>
        <v>#DIV/0!</v>
      </c>
      <c r="F70" s="89" t="e">
        <f t="shared" si="6"/>
        <v>#N/A</v>
      </c>
      <c r="G70" s="106" t="e">
        <f t="shared" si="7"/>
        <v>#N/A</v>
      </c>
      <c r="H70" s="108" t="e">
        <f>IF(ISBLANK(D70),"",D70/Final!$W$4)</f>
        <v>#DIV/0!</v>
      </c>
      <c r="I70" s="91" t="e">
        <f t="shared" si="8"/>
        <v>#N/A</v>
      </c>
    </row>
    <row r="71" spans="1:9">
      <c r="A71" s="73" t="str" cm="1">
        <f t="array" ref="A71">INDEX(Final!$Z$1:$CY$1, LOOKUP(ROW(A70), {1,14,58,67,73,76}, {1,14,58,67,73,76}))</f>
        <v>D : Finish</v>
      </c>
      <c r="B71" s="73" t="str">
        <f>INDEX(Final!$Z$2:$CY$2, ROW()-ROW($B$2)+1)</f>
        <v>4.Peel off and misalignment of prints</v>
      </c>
      <c r="C71" s="74" t="e">
        <f>IF(ISBLANK(D71),"",D71/Final!$W$4)</f>
        <v>#DIV/0!</v>
      </c>
      <c r="D71" s="85">
        <f>INDEX(Final!$Z$4:$CY$4, ROW()-ROW($D$2)+1)</f>
        <v>0</v>
      </c>
      <c r="E71" s="87" t="e">
        <f>IF(C71="",COUNT($C$2:$C$79) + ROW()-ROW($C$2) + 1 - COUNT($C$2:C71),RANK(C71,$C$2:$C$79,0) + COUNTIF($C$2:C71,C71) - 1)</f>
        <v>#DIV/0!</v>
      </c>
      <c r="F71" s="89" t="e">
        <f t="shared" si="6"/>
        <v>#N/A</v>
      </c>
      <c r="G71" s="106" t="e">
        <f t="shared" si="7"/>
        <v>#N/A</v>
      </c>
      <c r="H71" s="108" t="e">
        <f>IF(ISBLANK(D71),"",D71/Final!$W$4)</f>
        <v>#DIV/0!</v>
      </c>
      <c r="I71" s="91" t="e">
        <f t="shared" si="8"/>
        <v>#N/A</v>
      </c>
    </row>
    <row r="72" spans="1:9">
      <c r="A72" s="73" t="str" cm="1">
        <f t="array" ref="A72">INDEX(Final!$Z$1:$CY$1, LOOKUP(ROW(A71), {1,14,58,67,73,76}, {1,14,58,67,73,76}))</f>
        <v>D : Finish</v>
      </c>
      <c r="B72" s="73" t="str">
        <f>INDEX(Final!$Z$2:$CY$2, ROW()-ROW($B$2)+1)</f>
        <v>5.Pressure mark</v>
      </c>
      <c r="C72" s="74" t="e">
        <f>IF(ISBLANK(D72),"",D72/Final!$W$4)</f>
        <v>#DIV/0!</v>
      </c>
      <c r="D72" s="85">
        <f>INDEX(Final!$Z$4:$CY$4, ROW()-ROW($D$2)+1)</f>
        <v>0</v>
      </c>
      <c r="E72" s="87" t="e">
        <f>IF(C72="",COUNT($C$2:$C$79) + ROW()-ROW($C$2) + 1 - COUNT($C$2:C72),RANK(C72,$C$2:$C$79,0) + COUNTIF($C$2:C72,C72) - 1)</f>
        <v>#DIV/0!</v>
      </c>
      <c r="F72" s="89" t="e">
        <f t="shared" si="6"/>
        <v>#N/A</v>
      </c>
      <c r="G72" s="106" t="e">
        <f t="shared" si="7"/>
        <v>#N/A</v>
      </c>
      <c r="H72" s="108" t="e">
        <f>IF(ISBLANK(D72),"",D72/Final!$W$4)</f>
        <v>#DIV/0!</v>
      </c>
      <c r="I72" s="91" t="e">
        <f t="shared" si="8"/>
        <v>#N/A</v>
      </c>
    </row>
    <row r="73" spans="1:9">
      <c r="A73" s="73" t="str" cm="1">
        <f t="array" ref="A73">INDEX(Final!$Z$1:$CY$1, LOOKUP(ROW(A72), {1,14,58,67,73,76}, {1,14,58,67,73,76}))</f>
        <v>D : Finish</v>
      </c>
      <c r="B73" s="73" t="str">
        <f>INDEX(Final!$Z$2:$CY$2, ROW()-ROW($B$2)+1)</f>
        <v>6.Wash finish</v>
      </c>
      <c r="C73" s="74" t="e">
        <f>IF(ISBLANK(D73),"",D73/Final!$W$4)</f>
        <v>#DIV/0!</v>
      </c>
      <c r="D73" s="85">
        <f>INDEX(Final!$Z$4:$CY$4, ROW()-ROW($D$2)+1)</f>
        <v>0</v>
      </c>
      <c r="E73" s="87" t="e">
        <f>IF(C73="",COUNT($C$2:$C$79) + ROW()-ROW($C$2) + 1 - COUNT($C$2:C73),RANK(C73,$C$2:$C$79,0) + COUNTIF($C$2:C73,C73) - 1)</f>
        <v>#DIV/0!</v>
      </c>
      <c r="F73" s="89" t="e">
        <f t="shared" si="6"/>
        <v>#N/A</v>
      </c>
      <c r="G73" s="106" t="e">
        <f t="shared" si="7"/>
        <v>#N/A</v>
      </c>
      <c r="H73" s="108" t="e">
        <f>IF(ISBLANK(D73),"",D73/Final!$W$4)</f>
        <v>#DIV/0!</v>
      </c>
      <c r="I73" s="91" t="e">
        <f t="shared" si="8"/>
        <v>#N/A</v>
      </c>
    </row>
    <row r="74" spans="1:9">
      <c r="A74" s="73" t="str" cm="1">
        <f t="array" ref="A74">INDEX(Final!$Z$1:$CY$1, LOOKUP(ROW(A73), {1,14,58,67,73,76}, {1,14,58,67,73,76}))</f>
        <v>E : Safety</v>
      </c>
      <c r="B74" s="73" t="str">
        <f>INDEX(Final!$Z$2:$CY$2, ROW()-ROW($B$2)+1)</f>
        <v>1.Thread</v>
      </c>
      <c r="C74" s="74" t="e">
        <f>IF(ISBLANK(D74),"",D74/Final!$W$4)</f>
        <v>#DIV/0!</v>
      </c>
      <c r="D74" s="85">
        <f>INDEX(Final!$Z$4:$CY$4, ROW()-ROW($D$2)+1)</f>
        <v>0</v>
      </c>
      <c r="E74" s="87" t="e">
        <f>IF(C74="",COUNT($C$2:$C$79) + ROW()-ROW($C$2) + 1 - COUNT($C$2:C74),RANK(C74,$C$2:$C$79,0) + COUNTIF($C$2:C74,C74) - 1)</f>
        <v>#DIV/0!</v>
      </c>
      <c r="F74" s="89" t="e">
        <f t="shared" si="6"/>
        <v>#N/A</v>
      </c>
      <c r="G74" s="106" t="e">
        <f t="shared" si="7"/>
        <v>#N/A</v>
      </c>
      <c r="H74" s="108" t="e">
        <f>IF(ISBLANK(D74),"",D74/Final!$W$4)</f>
        <v>#DIV/0!</v>
      </c>
      <c r="I74" s="91" t="e">
        <f t="shared" si="8"/>
        <v>#N/A</v>
      </c>
    </row>
    <row r="75" spans="1:9">
      <c r="A75" s="73" t="str" cm="1">
        <f t="array" ref="A75">INDEX(Final!$Z$1:$CY$1, LOOKUP(ROW(A74), {1,14,58,67,73,76}, {1,14,58,67,73,76}))</f>
        <v>E : Safety</v>
      </c>
      <c r="B75" s="73" t="str">
        <f>INDEX(Final!$Z$2:$CY$2, ROW()-ROW($B$2)+1)</f>
        <v>2.Hazardous object/ foreign bodies</v>
      </c>
      <c r="C75" s="74" t="e">
        <f>IF(ISBLANK(D75),"",D75/Final!$W$4)</f>
        <v>#DIV/0!</v>
      </c>
      <c r="D75" s="85">
        <f>INDEX(Final!$Z$4:$CY$4, ROW()-ROW($D$2)+1)</f>
        <v>0</v>
      </c>
      <c r="E75" s="87" t="e">
        <f>IF(C75="",COUNT($C$2:$C$79) + ROW()-ROW($C$2) + 1 - COUNT($C$2:C75),RANK(C75,$C$2:$C$79,0) + COUNTIF($C$2:C75,C75) - 1)</f>
        <v>#DIV/0!</v>
      </c>
      <c r="F75" s="89" t="e">
        <f t="shared" si="6"/>
        <v>#N/A</v>
      </c>
      <c r="G75" s="106" t="e">
        <f t="shared" si="7"/>
        <v>#N/A</v>
      </c>
      <c r="H75" s="108" t="e">
        <f>IF(ISBLANK(D75),"",D75/Final!$W$4)</f>
        <v>#DIV/0!</v>
      </c>
      <c r="I75" s="91" t="e">
        <f t="shared" si="8"/>
        <v>#N/A</v>
      </c>
    </row>
    <row r="76" spans="1:9">
      <c r="A76" s="73" t="str" cm="1">
        <f t="array" ref="A76">INDEX(Final!$Z$1:$CY$1, LOOKUP(ROW(A75), {1,14,58,67,73,76}, {1,14,58,67,73,76}))</f>
        <v>E : Safety</v>
      </c>
      <c r="B76" s="73" t="str">
        <f>INDEX(Final!$Z$2:$CY$2, ROW()-ROW($B$2)+1)</f>
        <v>3.Odor</v>
      </c>
      <c r="C76" s="74" t="e">
        <f>IF(ISBLANK(D76),"",D76/Final!$W$4)</f>
        <v>#DIV/0!</v>
      </c>
      <c r="D76" s="85">
        <f>INDEX(Final!$Z$4:$CY$4, ROW()-ROW($D$2)+1)</f>
        <v>0</v>
      </c>
      <c r="E76" s="87" t="e">
        <f>IF(C76="",COUNT($C$2:$C$79) + ROW()-ROW($C$2) + 1 - COUNT($C$2:C76),RANK(C76,$C$2:$C$79,0) + COUNTIF($C$2:C76,C76) - 1)</f>
        <v>#DIV/0!</v>
      </c>
      <c r="F76" s="89" t="e">
        <f t="shared" si="6"/>
        <v>#N/A</v>
      </c>
      <c r="G76" s="106" t="e">
        <f t="shared" si="7"/>
        <v>#N/A</v>
      </c>
      <c r="H76" s="108" t="e">
        <f>IF(ISBLANK(D76),"",D76/Final!$W$4)</f>
        <v>#DIV/0!</v>
      </c>
      <c r="I76" s="91" t="e">
        <f t="shared" si="8"/>
        <v>#N/A</v>
      </c>
    </row>
    <row r="77" spans="1:9">
      <c r="A77" s="73" t="str" cm="1">
        <f t="array" ref="A77">INDEX(Final!$Z$1:$CY$1, LOOKUP(ROW(A76), {1,14,58,67,73,76}, {1,14,58,67,73,76}))</f>
        <v>F : Others</v>
      </c>
      <c r="B77" s="73" t="str">
        <f>INDEX(Final!$Z$2:$CY$2, ROW()-ROW($B$2)+1)</f>
        <v>1.Bad packing</v>
      </c>
      <c r="C77" s="74" t="e">
        <f>IF(ISBLANK(D77),"",D77/Final!$W$4)</f>
        <v>#DIV/0!</v>
      </c>
      <c r="D77" s="85">
        <f>INDEX(Final!$Z$4:$CY$4, ROW()-ROW($D$2)+1)</f>
        <v>0</v>
      </c>
      <c r="E77" s="87" t="e">
        <f>IF(C77="",COUNT($C$2:$C$79) + ROW()-ROW($C$2) + 1 - COUNT($C$2:C77),RANK(C77,$C$2:$C$79,0) + COUNTIF($C$2:C77,C77) - 1)</f>
        <v>#DIV/0!</v>
      </c>
      <c r="F77" s="89" t="e">
        <f t="shared" si="6"/>
        <v>#N/A</v>
      </c>
      <c r="G77" s="106" t="e">
        <f t="shared" si="7"/>
        <v>#N/A</v>
      </c>
      <c r="H77" s="108" t="e">
        <f>IF(ISBLANK(D77),"",D77/Final!$W$4)</f>
        <v>#DIV/0!</v>
      </c>
      <c r="I77" s="91" t="e">
        <f t="shared" si="8"/>
        <v>#N/A</v>
      </c>
    </row>
    <row r="78" spans="1:9">
      <c r="A78" s="73" t="str" cm="1">
        <f t="array" ref="A78">INDEX(Final!$Z$1:$CY$1, LOOKUP(ROW(A77), {1,14,58,67,73,76}, {1,14,58,67,73,76}))</f>
        <v>F : Others</v>
      </c>
      <c r="B78" s="73" t="str">
        <f>INDEX(Final!$Z$2:$CY$2, ROW()-ROW($B$2)+1)</f>
        <v>2.Wrong quantity packed</v>
      </c>
      <c r="C78" s="74" t="e">
        <f>IF(ISBLANK(D78),"",D78/Final!$W$4)</f>
        <v>#DIV/0!</v>
      </c>
      <c r="D78" s="85">
        <f>INDEX(Final!$Z$4:$CY$4, ROW()-ROW($D$2)+1)</f>
        <v>0</v>
      </c>
      <c r="E78" s="87" t="e">
        <f>IF(C78="",COUNT($C$2:$C$79) + ROW()-ROW($C$2) + 1 - COUNT($C$2:C78),RANK(C78,$C$2:$C$79,0) + COUNTIF($C$2:C78,C78) - 1)</f>
        <v>#DIV/0!</v>
      </c>
      <c r="F78" s="89" t="e">
        <f t="shared" si="6"/>
        <v>#N/A</v>
      </c>
      <c r="G78" s="106" t="e">
        <f t="shared" si="7"/>
        <v>#N/A</v>
      </c>
      <c r="H78" s="108" t="e">
        <f>IF(ISBLANK(D78),"",D78/Final!$W$4)</f>
        <v>#DIV/0!</v>
      </c>
      <c r="I78" s="91" t="e">
        <f t="shared" si="8"/>
        <v>#N/A</v>
      </c>
    </row>
    <row r="79" spans="1:9" ht="15.75" thickBot="1">
      <c r="A79" s="73" t="str" cm="1">
        <f t="array" ref="A79">INDEX(Final!$Z$1:$CY$1, LOOKUP(ROW(A78), {1,14,58,67,73,76}, {1,14,58,67,73,76}))</f>
        <v>F : Others</v>
      </c>
      <c r="B79" s="73" t="str">
        <f>INDEX(Final!$Z$2:$CY$2, ROW()-ROW($B$2)+1)</f>
        <v>3.Others</v>
      </c>
      <c r="C79" s="74" t="e">
        <f>IF(ISBLANK(D79),"",D79/Final!$W$4)</f>
        <v>#DIV/0!</v>
      </c>
      <c r="D79" s="85">
        <f>INDEX(Final!$Z$4:$CY$4, ROW()-ROW($D$2)+1)</f>
        <v>0</v>
      </c>
      <c r="E79" s="87" t="e">
        <f>IF(C79="",COUNT($C$2:$C$79) + ROW()-ROW($C$2) + 1 - COUNT($C$2:C79),RANK(C79,$C$2:$C$79,0) + COUNTIF($C$2:C79,C79) - 1)</f>
        <v>#DIV/0!</v>
      </c>
      <c r="F79" s="89" t="e">
        <f t="shared" si="6"/>
        <v>#N/A</v>
      </c>
      <c r="G79" s="106" t="e">
        <f t="shared" si="7"/>
        <v>#N/A</v>
      </c>
      <c r="H79" s="109" t="e">
        <f>IF(ISBLANK(D79),"",D79/Final!$W$4)</f>
        <v>#DIV/0!</v>
      </c>
      <c r="I79" s="92" t="e">
        <f t="shared" si="8"/>
        <v>#N/A</v>
      </c>
    </row>
  </sheetData>
  <pageMargins left="0.7" right="0.7" top="0.75" bottom="0.75" header="0.3" footer="0.3"/>
  <pageSetup paperSize="9" orientation="portrait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543B0-798C-4399-BF37-B77399975A31}">
  <dimension ref="A1:R79"/>
  <sheetViews>
    <sheetView zoomScale="85" zoomScaleNormal="85" workbookViewId="0">
      <selection activeCell="P19" sqref="P19"/>
    </sheetView>
  </sheetViews>
  <sheetFormatPr defaultRowHeight="15"/>
  <cols>
    <col min="1" max="1" width="22.140625" customWidth="1"/>
    <col min="2" max="2" width="49.42578125" bestFit="1" customWidth="1"/>
    <col min="5" max="5" width="9.140625" customWidth="1"/>
    <col min="6" max="6" width="24.7109375" customWidth="1"/>
    <col min="7" max="7" width="49.42578125" bestFit="1" customWidth="1"/>
    <col min="9" max="9" width="18" customWidth="1"/>
    <col min="10" max="11" width="47.42578125" customWidth="1"/>
    <col min="12" max="12" width="10.85546875" customWidth="1"/>
    <col min="13" max="14" width="10.85546875" style="84" customWidth="1"/>
    <col min="15" max="15" width="20.5703125" customWidth="1"/>
    <col min="16" max="16" width="36.7109375" bestFit="1" customWidth="1"/>
    <col min="17" max="18" width="16.28515625" customWidth="1"/>
    <col min="19" max="25" width="16.28515625" bestFit="1" customWidth="1"/>
    <col min="27" max="27" width="11.28515625" bestFit="1" customWidth="1"/>
  </cols>
  <sheetData>
    <row r="1" spans="1:18" ht="24" customHeight="1" thickBot="1">
      <c r="A1" s="64" t="str" cm="1">
        <f t="array" ref="A1">_xlfn.TEXTJOIN(",", TRUE, IF('Re-Final'!$Z$1:$CY$1&lt;&gt;"", COLUMN('Re-Final'!$Z$1:$CY$1)-COLUMN('Re-Final'!$Z$1)+1, ""))</f>
        <v>1,14,58,67,73,76</v>
      </c>
      <c r="B1" s="64" t="s">
        <v>150</v>
      </c>
      <c r="C1" s="65" t="s">
        <v>151</v>
      </c>
      <c r="D1" s="66" t="s">
        <v>152</v>
      </c>
      <c r="E1" s="67" t="s">
        <v>153</v>
      </c>
      <c r="F1" s="64" t="s">
        <v>154</v>
      </c>
      <c r="G1" s="64" t="s">
        <v>155</v>
      </c>
      <c r="H1" s="65" t="s">
        <v>156</v>
      </c>
      <c r="I1" s="68" t="s">
        <v>157</v>
      </c>
      <c r="J1" s="69" t="s">
        <v>158</v>
      </c>
      <c r="K1" s="69" t="s">
        <v>159</v>
      </c>
      <c r="L1" s="70" t="s">
        <v>160</v>
      </c>
      <c r="M1" s="71" t="s">
        <v>161</v>
      </c>
      <c r="N1" s="72"/>
    </row>
    <row r="2" spans="1:18" ht="15.75" thickBot="1">
      <c r="A2" s="73" t="str" cm="1">
        <f t="array" ref="A2">INDEX('Re-Final'!$Z$1:$CY$1, LOOKUP(ROW(A1), {1,14,58,67,73,76}, {1,14,58,67,73,76}))</f>
        <v>A : Fabrics</v>
      </c>
      <c r="B2" s="73" t="str">
        <f>INDEX('Re-Final'!$Z$2:$CY$2, ROW()-ROW($B$2)+1)</f>
        <v>1.Damage</v>
      </c>
      <c r="C2" s="74" t="e">
        <f>IF(ISBLANK(D2),"",D2/'Re-Final'!$W$4)</f>
        <v>#DIV/0!</v>
      </c>
      <c r="D2" s="85">
        <f>INDEX('Re-Final'!$Z$4:$CY$4, ROW()-ROW($D$2)+1)</f>
        <v>0</v>
      </c>
      <c r="E2" s="86" t="e">
        <f>IF(C2="",COUNT($C$2:$C$79) + ROW()-ROW($C$2) + 1 - COUNT($C$2:C2),RANK(C2,$C$2:$C$79,0) + COUNTIF($C$2:C2,C2) - 1)</f>
        <v>#DIV/0!</v>
      </c>
      <c r="F2" s="88" t="e">
        <f t="shared" ref="F2:F33" si="0">INDEX($A:$A, MATCH(G2, $B:$B, 0))</f>
        <v>#N/A</v>
      </c>
      <c r="G2" s="105" t="e">
        <f t="shared" ref="G2:G33" si="1">INDEX($B$2:$B$79,MATCH(ROW()-1,$E$2:$E$79,0))</f>
        <v>#N/A</v>
      </c>
      <c r="H2" s="107" t="e">
        <f>IF(ISBLANK(D2),"",D2/Final!$W$4)</f>
        <v>#DIV/0!</v>
      </c>
      <c r="I2" s="90" t="e">
        <f>IF(AND(INDEX($C$2:$C$79,MATCH(ROW()-1,$E$2:$E$79,0))=0,INDEX($D$2:$D$79,MATCH(ROW()-1,$E$2:$E$79,0))=0),"",INDEX($D$2:$D$79,MATCH(ROW()-1,$E$2:$E$79,0)))</f>
        <v>#N/A</v>
      </c>
      <c r="J2" s="110" t="e" cm="1">
        <f t="array" ref="J2">IF(COUNTIF($I$2:I2, I2)=1, _xlfn.TEXTJOIN(", ", TRUE, _xlfn.UNIQUE(_xlfn._xlws.FILTER($F$2:$F$79, $I$2:$I$79=I2, ""))), "")</f>
        <v>#N/A</v>
      </c>
      <c r="K2" s="75" t="e" cm="1">
        <f t="array" ref="K2">IF(COUNTIF($I$2:I2,I2)=1,_xlfn.TEXTJOIN(", ",TRUE,IF($I$2:$I$79=I2,$G$2:$G$79,"")),"")</f>
        <v>#N/A</v>
      </c>
      <c r="L2" s="75" t="e">
        <f>IF(COUNTIF($I$2:I2,I2)=1,I2,"")</f>
        <v>#N/A</v>
      </c>
      <c r="M2" s="76" t="e">
        <f>IF(COUNTIF($H$2:H2,H2)=1,H2,"")</f>
        <v>#DIV/0!</v>
      </c>
      <c r="N2" s="72"/>
      <c r="O2" s="77" t="e">
        <f>INDEX($J$2:$J$36, MATCH(Q2, $L$2:$L$36, 0))</f>
        <v>#N/A</v>
      </c>
      <c r="P2" s="77" t="e">
        <f>INDEX($K$2:$K$36, MATCH(Q2, $L$2:$L$36, 0))</f>
        <v>#N/A</v>
      </c>
      <c r="Q2" s="77" t="e">
        <f>LARGE($L$2:$L$36, 1)</f>
        <v>#N/A</v>
      </c>
      <c r="R2" s="78" t="e">
        <f>LARGE($M$2:$M$36, 1)</f>
        <v>#DIV/0!</v>
      </c>
    </row>
    <row r="3" spans="1:18" ht="18" customHeight="1" thickBot="1">
      <c r="A3" s="73" t="str" cm="1">
        <f t="array" ref="A3">INDEX('Re-Final'!$Z$1:$CY$1, LOOKUP(ROW(A2), {1,14,58,67,73,76}, {1,14,58,67,73,76}))</f>
        <v>A : Fabrics</v>
      </c>
      <c r="B3" s="73" t="str">
        <f>INDEX('Re-Final'!$Z$2:$CY$2, ROW()-ROW($B$2)+1)</f>
        <v>2.Needle breakage defect</v>
      </c>
      <c r="C3" s="74" t="e">
        <f>IF(ISBLANK(D3),"",D3/'Re-Final'!$W$4)</f>
        <v>#DIV/0!</v>
      </c>
      <c r="D3" s="85">
        <f>INDEX('Re-Final'!$Z$4:$CY$4, ROW()-ROW($D$2)+1)</f>
        <v>0</v>
      </c>
      <c r="E3" s="87" t="e">
        <f>IF(C3="",COUNT($C$2:$C$79) + ROW()-ROW($C$2) + 1 - COUNT($C$2:C3),RANK(C3,$C$2:$C$79,0) + COUNTIF($C$2:C3,C3) - 1)</f>
        <v>#DIV/0!</v>
      </c>
      <c r="F3" s="89" t="e">
        <f t="shared" si="0"/>
        <v>#N/A</v>
      </c>
      <c r="G3" s="106" t="e">
        <f t="shared" si="1"/>
        <v>#N/A</v>
      </c>
      <c r="H3" s="108" t="e">
        <f>IF(ISBLANK(D3),"",D3/Final!$W$4)</f>
        <v>#DIV/0!</v>
      </c>
      <c r="I3" s="91" t="e">
        <f t="shared" ref="I3:I66" si="2">IF(AND(INDEX($C$2:$C$79,MATCH(ROW()-1,$E$2:$E$79,0))=0,INDEX($D$2:$D$79,MATCH(ROW()-1,$E$2:$E$79,0))=0),"",INDEX($D$2:$D$79,MATCH(ROW()-1,$E$2:$E$79,0)))</f>
        <v>#N/A</v>
      </c>
      <c r="J3" s="110" t="str" cm="1">
        <f t="array" ref="J3">IF(COUNTIF($I$2:I3, I3)=1, _xlfn.TEXTJOIN(", ", TRUE, _xlfn.UNIQUE(_xlfn._xlws.FILTER($F$2:$F$79, $I$2:$I$79=I3, ""))), "")</f>
        <v/>
      </c>
      <c r="K3" s="75" t="str" cm="1">
        <f t="array" ref="K3">IF(COUNTIF($I$2:I3,I3)=1,_xlfn.TEXTJOIN(", ",TRUE,IF($I$2:$I$79=I3,$G$2:$G$79,"")),"")</f>
        <v/>
      </c>
      <c r="L3" s="79" t="str">
        <f t="array" ref="L3">IF(COUNTIF($I$2:I3,I3)=1,I3,"")</f>
        <v/>
      </c>
      <c r="M3" s="80" t="str">
        <f t="array" ref="M3">IF(COUNTIF($H$2:H3,H3)=1,H3,"")</f>
        <v/>
      </c>
      <c r="N3" s="72"/>
      <c r="O3" s="77" t="e">
        <f t="shared" ref="O3:O6" si="3">INDEX($J$2:$J$36, MATCH(Q3, $L$2:$L$36, 0))</f>
        <v>#N/A</v>
      </c>
      <c r="P3" s="77" t="e">
        <f>INDEX($K$2:$K$36, MATCH(Q3, $L$2:$L$36, 0))</f>
        <v>#N/A</v>
      </c>
      <c r="Q3" s="77" t="e">
        <f>LARGE($L$2:$L$36, 2)</f>
        <v>#N/A</v>
      </c>
      <c r="R3" s="78" t="e">
        <f>LARGE($M$2:$M$36, 2)</f>
        <v>#DIV/0!</v>
      </c>
    </row>
    <row r="4" spans="1:18" ht="15.75" thickBot="1">
      <c r="A4" s="73" t="str" cm="1">
        <f t="array" ref="A4">INDEX('Re-Final'!$Z$1:$CY$1, LOOKUP(ROW(A3), {1,14,58,67,73,76}, {1,14,58,67,73,76}))</f>
        <v>A : Fabrics</v>
      </c>
      <c r="B4" s="73" t="str">
        <f>INDEX('Re-Final'!$Z$2:$CY$2, ROW()-ROW($B$2)+1)</f>
        <v>3.Hole, tear</v>
      </c>
      <c r="C4" s="74" t="e">
        <f>IF(ISBLANK(D4),"",D4/'Re-Final'!$W$4)</f>
        <v>#DIV/0!</v>
      </c>
      <c r="D4" s="85">
        <f>INDEX('Re-Final'!$Z$4:$CY$4, ROW()-ROW($D$2)+1)</f>
        <v>0</v>
      </c>
      <c r="E4" s="87" t="e">
        <f>IF(C4="",COUNT($C$2:$C$79) + ROW()-ROW($C$2) + 1 - COUNT($C$2:C4),RANK(C4,$C$2:$C$79,0) + COUNTIF($C$2:C4,C4) - 1)</f>
        <v>#DIV/0!</v>
      </c>
      <c r="F4" s="89" t="e">
        <f t="shared" si="0"/>
        <v>#N/A</v>
      </c>
      <c r="G4" s="106" t="e">
        <f t="shared" si="1"/>
        <v>#N/A</v>
      </c>
      <c r="H4" s="108" t="e">
        <f>IF(ISBLANK(D4),"",D4/Final!$W$4)</f>
        <v>#DIV/0!</v>
      </c>
      <c r="I4" s="91" t="e">
        <f t="shared" si="2"/>
        <v>#N/A</v>
      </c>
      <c r="J4" s="110" t="str" cm="1">
        <f t="array" ref="J4">IF(COUNTIF($I$2:I4, I4)=1, _xlfn.TEXTJOIN(", ", TRUE, _xlfn.UNIQUE(_xlfn._xlws.FILTER($F$2:$F$79, $I$2:$I$79=I4, ""))), "")</f>
        <v/>
      </c>
      <c r="K4" s="75" t="str" cm="1">
        <f t="array" ref="K4">IF(COUNTIF($I$2:I4,I4)=1,_xlfn.TEXTJOIN(", ",TRUE,IF($I$2:$I$79=I4,$G$2:$G$79,"")),"")</f>
        <v/>
      </c>
      <c r="L4" s="79" t="str">
        <f t="array" ref="L4">IF(COUNTIF($I$2:I4,I4)=1,I4,"")</f>
        <v/>
      </c>
      <c r="M4" s="80" t="str">
        <f t="array" ref="M4">IF(COUNTIF($H$2:H4,H4)=1,H4,"")</f>
        <v/>
      </c>
      <c r="N4" s="72"/>
      <c r="O4" s="77" t="e">
        <f t="shared" si="3"/>
        <v>#N/A</v>
      </c>
      <c r="P4" s="77" t="e">
        <f>INDEX($K$2:$K$36, MATCH(Q4, $L$2:$L$36, 0))</f>
        <v>#N/A</v>
      </c>
      <c r="Q4" s="77" t="e">
        <f>LARGE($L$2:$L$36, 3)</f>
        <v>#N/A</v>
      </c>
      <c r="R4" s="78" t="e">
        <f>LARGE($M$2:$M$36, 3)</f>
        <v>#DIV/0!</v>
      </c>
    </row>
    <row r="5" spans="1:18" ht="15.75" thickBot="1">
      <c r="A5" s="73" t="str" cm="1">
        <f t="array" ref="A5">INDEX('Re-Final'!$Z$1:$CY$1, LOOKUP(ROW(A4), {1,14,58,67,73,76}, {1,14,58,67,73,76}))</f>
        <v>A : Fabrics</v>
      </c>
      <c r="B5" s="73" t="str">
        <f>INDEX('Re-Final'!$Z$2:$CY$2, ROW()-ROW($B$2)+1)</f>
        <v>4.NEP</v>
      </c>
      <c r="C5" s="74" t="e">
        <f>IF(ISBLANK(D5),"",D5/'Re-Final'!$W$4)</f>
        <v>#DIV/0!</v>
      </c>
      <c r="D5" s="85">
        <f>INDEX('Re-Final'!$Z$4:$CY$4, ROW()-ROW($D$2)+1)</f>
        <v>0</v>
      </c>
      <c r="E5" s="87" t="e">
        <f>IF(C5="",COUNT($C$2:$C$79) + ROW()-ROW($C$2) + 1 - COUNT($C$2:C5),RANK(C5,$C$2:$C$79,0) + COUNTIF($C$2:C5,C5) - 1)</f>
        <v>#DIV/0!</v>
      </c>
      <c r="F5" s="89" t="e">
        <f t="shared" si="0"/>
        <v>#N/A</v>
      </c>
      <c r="G5" s="106" t="e">
        <f t="shared" si="1"/>
        <v>#N/A</v>
      </c>
      <c r="H5" s="108" t="e">
        <f>IF(ISBLANK(D5),"",D5/Final!$W$4)</f>
        <v>#DIV/0!</v>
      </c>
      <c r="I5" s="91" t="e">
        <f t="shared" si="2"/>
        <v>#N/A</v>
      </c>
      <c r="J5" s="110" t="str" cm="1">
        <f t="array" ref="J5">IF(COUNTIF($I$2:I5, I5)=1, _xlfn.TEXTJOIN(", ", TRUE, _xlfn.UNIQUE(_xlfn._xlws.FILTER($F$2:$F$79, $I$2:$I$79=I5, ""))), "")</f>
        <v/>
      </c>
      <c r="K5" s="75" t="str" cm="1">
        <f t="array" ref="K5">IF(COUNTIF($I$2:I5,I5)=1,_xlfn.TEXTJOIN(", ",TRUE,IF($I$2:$I$79=I5,$G$2:$G$79,"")),"")</f>
        <v/>
      </c>
      <c r="L5" s="79" t="str">
        <f t="array" ref="L5">IF(COUNTIF($I$2:I5,I5)=1,I5,"")</f>
        <v/>
      </c>
      <c r="M5" s="80" t="str">
        <f t="array" ref="M5">IF(COUNTIF($H$2:H5,H5)=1,H5,"")</f>
        <v/>
      </c>
      <c r="N5" s="72"/>
      <c r="O5" s="77" t="e">
        <f t="shared" si="3"/>
        <v>#N/A</v>
      </c>
      <c r="P5" s="77" t="e">
        <f>INDEX($K$2:$K$36, MATCH(Q5, $L$2:$L$36, 0))</f>
        <v>#N/A</v>
      </c>
      <c r="Q5" s="77" t="e">
        <f>LARGE($L$2:$L$36, 4)</f>
        <v>#N/A</v>
      </c>
      <c r="R5" s="78" t="e">
        <f>LARGE($M$2:$M$36, 4)</f>
        <v>#DIV/0!</v>
      </c>
    </row>
    <row r="6" spans="1:18" ht="15.75" thickBot="1">
      <c r="A6" s="73" t="str" cm="1">
        <f t="array" ref="A6">INDEX('Re-Final'!$Z$1:$CY$1, LOOKUP(ROW(A5), {1,14,58,67,73,76}, {1,14,58,67,73,76}))</f>
        <v>A : Fabrics</v>
      </c>
      <c r="B6" s="73" t="str">
        <f>INDEX('Re-Final'!$Z$2:$CY$2, ROW()-ROW($B$2)+1)</f>
        <v>5.SLUB</v>
      </c>
      <c r="C6" s="74" t="e">
        <f>IF(ISBLANK(D6),"",D6/'Re-Final'!$W$4)</f>
        <v>#DIV/0!</v>
      </c>
      <c r="D6" s="85">
        <f>INDEX('Re-Final'!$Z$4:$CY$4, ROW()-ROW($D$2)+1)</f>
        <v>0</v>
      </c>
      <c r="E6" s="87" t="e">
        <f>IF(C6="",COUNT($C$2:$C$79) + ROW()-ROW($C$2) + 1 - COUNT($C$2:C6),RANK(C6,$C$2:$C$79,0) + COUNTIF($C$2:C6,C6) - 1)</f>
        <v>#DIV/0!</v>
      </c>
      <c r="F6" s="89" t="e">
        <f t="shared" si="0"/>
        <v>#N/A</v>
      </c>
      <c r="G6" s="106" t="e">
        <f t="shared" si="1"/>
        <v>#N/A</v>
      </c>
      <c r="H6" s="108" t="e">
        <f>IF(ISBLANK(D6),"",D6/Final!$W$4)</f>
        <v>#DIV/0!</v>
      </c>
      <c r="I6" s="91" t="e">
        <f t="shared" si="2"/>
        <v>#N/A</v>
      </c>
      <c r="J6" s="110" t="str" cm="1">
        <f t="array" ref="J6">IF(COUNTIF($I$2:I6, I6)=1, _xlfn.TEXTJOIN(", ", TRUE, _xlfn.UNIQUE(_xlfn._xlws.FILTER($F$2:$F$79, $I$2:$I$79=I6, ""))), "")</f>
        <v/>
      </c>
      <c r="K6" s="75" t="str" cm="1">
        <f t="array" ref="K6">IF(COUNTIF($I$2:I6,I6)=1,_xlfn.TEXTJOIN(", ",TRUE,IF($I$2:$I$79=I6,$G$2:$G$79,"")),"")</f>
        <v/>
      </c>
      <c r="L6" s="79" t="str">
        <f t="array" ref="L6">IF(COUNTIF($I$2:I6,I6)=1,I6,"")</f>
        <v/>
      </c>
      <c r="M6" s="80" t="str">
        <f t="array" ref="M6">IF(COUNTIF($H$2:H6,H6)=1,H6,"")</f>
        <v/>
      </c>
      <c r="N6" s="72"/>
      <c r="O6" s="77" t="e">
        <f t="shared" si="3"/>
        <v>#N/A</v>
      </c>
      <c r="P6" s="77" t="e">
        <f>INDEX($K$2:$K$36, MATCH(Q6, $L$2:$L$36, 0))</f>
        <v>#N/A</v>
      </c>
      <c r="Q6" s="77" t="e">
        <f>LARGE($L$2:$L$36, 5)</f>
        <v>#N/A</v>
      </c>
      <c r="R6" s="78" t="e">
        <f>LARGE($M$2:$M$36, 5)</f>
        <v>#DIV/0!</v>
      </c>
    </row>
    <row r="7" spans="1:18" ht="15.75" thickBot="1">
      <c r="A7" s="73" t="str" cm="1">
        <f t="array" ref="A7">INDEX('Re-Final'!$Z$1:$CY$1, LOOKUP(ROW(A6), {1,14,58,67,73,76}, {1,14,58,67,73,76}))</f>
        <v>A : Fabrics</v>
      </c>
      <c r="B7" s="73" t="str">
        <f>INDEX('Re-Final'!$Z$2:$CY$2, ROW()-ROW($B$2)+1)</f>
        <v>6.Weft defect</v>
      </c>
      <c r="C7" s="74" t="e">
        <f>IF(ISBLANK(D7),"",D7/'Re-Final'!$W$4)</f>
        <v>#DIV/0!</v>
      </c>
      <c r="D7" s="85">
        <f>INDEX('Re-Final'!$Z$4:$CY$4, ROW()-ROW($D$2)+1)</f>
        <v>0</v>
      </c>
      <c r="E7" s="87" t="e">
        <f>IF(C7="",COUNT($C$2:$C$79) + ROW()-ROW($C$2) + 1 - COUNT($C$2:C7),RANK(C7,$C$2:$C$79,0) + COUNTIF($C$2:C7,C7) - 1)</f>
        <v>#DIV/0!</v>
      </c>
      <c r="F7" s="89" t="e">
        <f t="shared" si="0"/>
        <v>#N/A</v>
      </c>
      <c r="G7" s="106" t="e">
        <f t="shared" si="1"/>
        <v>#N/A</v>
      </c>
      <c r="H7" s="108" t="e">
        <f>IF(ISBLANK(D7),"",D7/Final!$W$4)</f>
        <v>#DIV/0!</v>
      </c>
      <c r="I7" s="91" t="e">
        <f t="shared" si="2"/>
        <v>#N/A</v>
      </c>
      <c r="J7" s="110" t="str" cm="1">
        <f t="array" ref="J7">IF(COUNTIF($I$2:I7, I7)=1, _xlfn.TEXTJOIN(", ", TRUE, _xlfn.UNIQUE(_xlfn._xlws.FILTER($F$2:$F$79, $I$2:$I$79=I7, ""))), "")</f>
        <v/>
      </c>
      <c r="K7" s="75" t="str" cm="1">
        <f t="array" ref="K7">IF(COUNTIF($I$2:I7,I7)=1,_xlfn.TEXTJOIN(", ",TRUE,IF($I$2:$I$79=I7,$G$2:$G$79,"")),"")</f>
        <v/>
      </c>
      <c r="L7" s="79" t="str">
        <f t="array" ref="L7">IF(COUNTIF($I$2:I7,I7)=1,I7,"")</f>
        <v/>
      </c>
      <c r="M7" s="80" t="str">
        <f t="array" ref="M7">IF(COUNTIF($H$2:H7,H7)=1,H7,"")</f>
        <v/>
      </c>
      <c r="N7" s="72"/>
      <c r="O7" s="77"/>
      <c r="P7" s="77"/>
      <c r="Q7" s="77"/>
      <c r="R7" s="81"/>
    </row>
    <row r="8" spans="1:18" ht="15.75" thickBot="1">
      <c r="A8" s="73" t="str" cm="1">
        <f t="array" ref="A8">INDEX('Re-Final'!$Z$1:$CY$1, LOOKUP(ROW(A7), {1,14,58,67,73,76}, {1,14,58,67,73,76}))</f>
        <v>A : Fabrics</v>
      </c>
      <c r="B8" s="73" t="str">
        <f>INDEX('Re-Final'!$Z$2:$CY$2, ROW()-ROW($B$2)+1)</f>
        <v>7.Unexpected things interwoven</v>
      </c>
      <c r="C8" s="74" t="e">
        <f>IF(ISBLANK(D8),"",D8/'Re-Final'!$W$4)</f>
        <v>#DIV/0!</v>
      </c>
      <c r="D8" s="85">
        <f>INDEX('Re-Final'!$Z$4:$CY$4, ROW()-ROW($D$2)+1)</f>
        <v>0</v>
      </c>
      <c r="E8" s="87" t="e">
        <f>IF(C8="",COUNT($C$2:$C$79) + ROW()-ROW($C$2) + 1 - COUNT($C$2:C8),RANK(C8,$C$2:$C$79,0) + COUNTIF($C$2:C8,C8) - 1)</f>
        <v>#DIV/0!</v>
      </c>
      <c r="F8" s="89" t="e">
        <f t="shared" si="0"/>
        <v>#N/A</v>
      </c>
      <c r="G8" s="106" t="e">
        <f t="shared" si="1"/>
        <v>#N/A</v>
      </c>
      <c r="H8" s="108" t="e">
        <f>IF(ISBLANK(D8),"",D8/Final!$W$4)</f>
        <v>#DIV/0!</v>
      </c>
      <c r="I8" s="91" t="e">
        <f t="shared" si="2"/>
        <v>#N/A</v>
      </c>
      <c r="J8" s="110" t="str" cm="1">
        <f t="array" ref="J8">IF(COUNTIF($I$2:I8, I8)=1, _xlfn.TEXTJOIN(", ", TRUE, _xlfn.UNIQUE(_xlfn._xlws.FILTER($F$2:$F$79, $I$2:$I$79=I8, ""))), "")</f>
        <v/>
      </c>
      <c r="K8" s="75" t="str" cm="1">
        <f t="array" ref="K8">IF(COUNTIF($I$2:I8,I8)=1,_xlfn.TEXTJOIN(", ",TRUE,IF($I$2:$I$79=I8,$G$2:$G$79,"")),"")</f>
        <v/>
      </c>
      <c r="L8" s="79" t="str">
        <f t="array" ref="L8">IF(COUNTIF($I$2:I8,I8)=1,I8,"")</f>
        <v/>
      </c>
      <c r="M8" s="80" t="str">
        <f t="array" ref="M8">IF(COUNTIF($H$2:H8,H8)=1,H8,"")</f>
        <v/>
      </c>
      <c r="N8" s="72"/>
      <c r="O8" s="77"/>
      <c r="P8" s="77"/>
      <c r="Q8" s="77"/>
      <c r="R8" s="81"/>
    </row>
    <row r="9" spans="1:18" ht="15.75" thickBot="1">
      <c r="A9" s="73" t="str" cm="1">
        <f t="array" ref="A9">INDEX('Re-Final'!$Z$1:$CY$1, LOOKUP(ROW(A8), {1,14,58,67,73,76}, {1,14,58,67,73,76}))</f>
        <v>A : Fabrics</v>
      </c>
      <c r="B9" s="73" t="str">
        <f>INDEX('Re-Final'!$Z$2:$CY$2, ROW()-ROW($B$2)+1)</f>
        <v>8.Bowing</v>
      </c>
      <c r="C9" s="74" t="e">
        <f>IF(ISBLANK(D9),"",D9/'Re-Final'!$W$4)</f>
        <v>#DIV/0!</v>
      </c>
      <c r="D9" s="85">
        <f>INDEX('Re-Final'!$Z$4:$CY$4, ROW()-ROW($D$2)+1)</f>
        <v>0</v>
      </c>
      <c r="E9" s="87" t="e">
        <f>IF(C9="",COUNT($C$2:$C$79) + ROW()-ROW($C$2) + 1 - COUNT($C$2:C9),RANK(C9,$C$2:$C$79,0) + COUNTIF($C$2:C9,C9) - 1)</f>
        <v>#DIV/0!</v>
      </c>
      <c r="F9" s="89" t="e">
        <f t="shared" si="0"/>
        <v>#N/A</v>
      </c>
      <c r="G9" s="106" t="e">
        <f t="shared" si="1"/>
        <v>#N/A</v>
      </c>
      <c r="H9" s="108" t="e">
        <f>IF(ISBLANK(D9),"",D9/Final!$W$4)</f>
        <v>#DIV/0!</v>
      </c>
      <c r="I9" s="91" t="e">
        <f t="shared" si="2"/>
        <v>#N/A</v>
      </c>
      <c r="J9" s="110" t="str" cm="1">
        <f t="array" ref="J9">IF(COUNTIF($I$2:I9, I9)=1, _xlfn.TEXTJOIN(", ", TRUE, _xlfn.UNIQUE(_xlfn._xlws.FILTER($F$2:$F$79, $I$2:$I$79=I9, ""))), "")</f>
        <v/>
      </c>
      <c r="K9" s="75" t="str" cm="1">
        <f t="array" ref="K9">IF(COUNTIF($I$2:I9,I9)=1,_xlfn.TEXTJOIN(", ",TRUE,IF($I$2:$I$79=I9,$G$2:$G$79,"")),"")</f>
        <v/>
      </c>
      <c r="L9" s="79" t="str">
        <f t="array" ref="L9">IF(COUNTIF($I$2:I9,I9)=1,I9,"")</f>
        <v/>
      </c>
      <c r="M9" s="80" t="str">
        <f t="array" ref="M9">IF(COUNTIF($H$2:H9,H9)=1,H9,"")</f>
        <v/>
      </c>
      <c r="N9" s="72"/>
      <c r="O9" s="77"/>
      <c r="P9" s="77"/>
      <c r="Q9" s="77"/>
      <c r="R9" s="81"/>
    </row>
    <row r="10" spans="1:18" ht="15.75" thickBot="1">
      <c r="A10" s="73" t="str" cm="1">
        <f t="array" ref="A10">INDEX('Re-Final'!$Z$1:$CY$1, LOOKUP(ROW(A9), {1,14,58,67,73,76}, {1,14,58,67,73,76}))</f>
        <v>A : Fabrics</v>
      </c>
      <c r="B10" s="73" t="str">
        <f>INDEX('Re-Final'!$Z$2:$CY$2, ROW()-ROW($B$2)+1)</f>
        <v>9.Odor</v>
      </c>
      <c r="C10" s="74" t="e">
        <f>IF(ISBLANK(D10),"",D10/'Re-Final'!$W$4)</f>
        <v>#DIV/0!</v>
      </c>
      <c r="D10" s="85">
        <f>INDEX('Re-Final'!$Z$4:$CY$4, ROW()-ROW($D$2)+1)</f>
        <v>0</v>
      </c>
      <c r="E10" s="87" t="e">
        <f>IF(C10="",COUNT($C$2:$C$79) + ROW()-ROW($C$2) + 1 - COUNT($C$2:C10),RANK(C10,$C$2:$C$79,0) + COUNTIF($C$2:C10,C10) - 1)</f>
        <v>#DIV/0!</v>
      </c>
      <c r="F10" s="89" t="e">
        <f t="shared" si="0"/>
        <v>#N/A</v>
      </c>
      <c r="G10" s="106" t="e">
        <f t="shared" si="1"/>
        <v>#N/A</v>
      </c>
      <c r="H10" s="108" t="e">
        <f>IF(ISBLANK(D10),"",D10/Final!$W$4)</f>
        <v>#DIV/0!</v>
      </c>
      <c r="I10" s="91" t="e">
        <f t="shared" si="2"/>
        <v>#N/A</v>
      </c>
      <c r="J10" s="110" t="str" cm="1">
        <f t="array" ref="J10">IF(COUNTIF($I$2:I10, I10)=1, _xlfn.TEXTJOIN(", ", TRUE, _xlfn.UNIQUE(_xlfn._xlws.FILTER($F$2:$F$79, $I$2:$I$79=I10, ""))), "")</f>
        <v/>
      </c>
      <c r="K10" s="75" t="str" cm="1">
        <f t="array" ref="K10">IF(COUNTIF($I$2:I10,I10)=1,_xlfn.TEXTJOIN(", ",TRUE,IF($I$2:$I$79=I10,$G$2:$G$79,"")),"")</f>
        <v/>
      </c>
      <c r="L10" s="79" t="str">
        <f t="array" ref="L10">IF(COUNTIF($I$2:I10,I10)=1,I10,"")</f>
        <v/>
      </c>
      <c r="M10" s="80" t="str">
        <f t="array" ref="M10">IF(COUNTIF($H$2:H10,H10)=1,H10,"")</f>
        <v/>
      </c>
      <c r="N10" s="72"/>
      <c r="O10" s="77"/>
      <c r="P10" s="77"/>
      <c r="Q10" s="77"/>
      <c r="R10" s="81"/>
    </row>
    <row r="11" spans="1:18" ht="15.75" thickBot="1">
      <c r="A11" s="73" t="str" cm="1">
        <f t="array" ref="A11">INDEX('Re-Final'!$Z$1:$CY$1, LOOKUP(ROW(A10), {1,14,58,67,73,76}, {1,14,58,67,73,76}))</f>
        <v>A : Fabrics</v>
      </c>
      <c r="B11" s="73" t="str">
        <f>INDEX('Re-Final'!$Z$2:$CY$2, ROW()-ROW($B$2)+1)</f>
        <v>10.Uneven dyeing</v>
      </c>
      <c r="C11" s="74" t="e">
        <f>IF(ISBLANK(D11),"",D11/'Re-Final'!$W$4)</f>
        <v>#DIV/0!</v>
      </c>
      <c r="D11" s="85">
        <f>INDEX('Re-Final'!$Z$4:$CY$4, ROW()-ROW($D$2)+1)</f>
        <v>0</v>
      </c>
      <c r="E11" s="87" t="e">
        <f>IF(C11="",COUNT($C$2:$C$79) + ROW()-ROW($C$2) + 1 - COUNT($C$2:C11),RANK(C11,$C$2:$C$79,0) + COUNTIF($C$2:C11,C11) - 1)</f>
        <v>#DIV/0!</v>
      </c>
      <c r="F11" s="89" t="e">
        <f t="shared" si="0"/>
        <v>#N/A</v>
      </c>
      <c r="G11" s="106" t="e">
        <f t="shared" si="1"/>
        <v>#N/A</v>
      </c>
      <c r="H11" s="108" t="e">
        <f>IF(ISBLANK(D11),"",D11/Final!$W$4)</f>
        <v>#DIV/0!</v>
      </c>
      <c r="I11" s="91" t="e">
        <f t="shared" si="2"/>
        <v>#N/A</v>
      </c>
      <c r="J11" s="110" t="str" cm="1">
        <f t="array" ref="J11">IF(COUNTIF($I$2:I11, I11)=1, _xlfn.TEXTJOIN(", ", TRUE, _xlfn.UNIQUE(_xlfn._xlws.FILTER($F$2:$F$79, $I$2:$I$79=I11, ""))), "")</f>
        <v/>
      </c>
      <c r="K11" s="75" t="str" cm="1">
        <f t="array" ref="K11">IF(COUNTIF($I$2:I11,I11)=1,_xlfn.TEXTJOIN(", ",TRUE,IF($I$2:$I$79=I11,$G$2:$G$79,"")),"")</f>
        <v/>
      </c>
      <c r="L11" s="79" t="str">
        <f t="array" ref="L11">IF(COUNTIF($I$2:I11,I11)=1,I11,"")</f>
        <v/>
      </c>
      <c r="M11" s="80" t="str">
        <f t="array" ref="M11">IF(COUNTIF($H$2:H11,H11)=1,H11,"")</f>
        <v/>
      </c>
      <c r="N11" s="72"/>
      <c r="O11" s="77"/>
      <c r="P11" s="77"/>
      <c r="Q11" s="77"/>
      <c r="R11" s="81"/>
    </row>
    <row r="12" spans="1:18" ht="15.75" thickBot="1">
      <c r="A12" s="73" t="str" cm="1">
        <f t="array" ref="A12">INDEX('Re-Final'!$Z$1:$CY$1, LOOKUP(ROW(A11), {1,14,58,67,73,76}, {1,14,58,67,73,76}))</f>
        <v>A : Fabrics</v>
      </c>
      <c r="B12" s="73" t="str">
        <f>INDEX('Re-Final'!$Z$2:$CY$2, ROW()-ROW($B$2)+1)</f>
        <v>11.Texture, surface defect</v>
      </c>
      <c r="C12" s="74" t="e">
        <f>IF(ISBLANK(D12),"",D12/'Re-Final'!$W$4)</f>
        <v>#DIV/0!</v>
      </c>
      <c r="D12" s="85">
        <f>INDEX('Re-Final'!$Z$4:$CY$4, ROW()-ROW($D$2)+1)</f>
        <v>0</v>
      </c>
      <c r="E12" s="87" t="e">
        <f>IF(C12="",COUNT($C$2:$C$79) + ROW()-ROW($C$2) + 1 - COUNT($C$2:C12),RANK(C12,$C$2:$C$79,0) + COUNTIF($C$2:C12,C12) - 1)</f>
        <v>#DIV/0!</v>
      </c>
      <c r="F12" s="89" t="e">
        <f t="shared" si="0"/>
        <v>#N/A</v>
      </c>
      <c r="G12" s="106" t="e">
        <f t="shared" si="1"/>
        <v>#N/A</v>
      </c>
      <c r="H12" s="108" t="e">
        <f>IF(ISBLANK(D12),"",D12/Final!$W$4)</f>
        <v>#DIV/0!</v>
      </c>
      <c r="I12" s="91" t="e">
        <f t="shared" si="2"/>
        <v>#N/A</v>
      </c>
      <c r="J12" s="110" t="str" cm="1">
        <f t="array" ref="J12">IF(COUNTIF($I$2:I12, I12)=1, _xlfn.TEXTJOIN(", ", TRUE, _xlfn.UNIQUE(_xlfn._xlws.FILTER($F$2:$F$79, $I$2:$I$79=I12, ""))), "")</f>
        <v/>
      </c>
      <c r="K12" s="75" t="str" cm="1">
        <f t="array" ref="K12">IF(COUNTIF($I$2:I12,I12)=1,_xlfn.TEXTJOIN(", ",TRUE,IF($I$2:$I$79=I12,$G$2:$G$79,"")),"")</f>
        <v/>
      </c>
      <c r="L12" s="79" t="str">
        <f t="array" ref="L12">IF(COUNTIF($I$2:I12,I12)=1,I12,"")</f>
        <v/>
      </c>
      <c r="M12" s="80" t="str">
        <f t="array" ref="M12">IF(COUNTIF($H$2:H12,H12)=1,H12,"")</f>
        <v/>
      </c>
      <c r="N12" s="72"/>
      <c r="O12" s="77"/>
      <c r="P12" s="77"/>
      <c r="Q12" s="77"/>
      <c r="R12" s="81"/>
    </row>
    <row r="13" spans="1:18" ht="15.75" thickBot="1">
      <c r="A13" s="73" t="str" cm="1">
        <f t="array" ref="A13">INDEX('Re-Final'!$Z$1:$CY$1, LOOKUP(ROW(A12), {1,14,58,67,73,76}, {1,14,58,67,73,76}))</f>
        <v>A : Fabrics</v>
      </c>
      <c r="B13" s="73" t="str">
        <f>INDEX('Re-Final'!$Z$2:$CY$2, ROW()-ROW($B$2)+1)</f>
        <v>12.Warp and weft defect</v>
      </c>
      <c r="C13" s="74" t="e">
        <f>IF(ISBLANK(D13),"",D13/'Re-Final'!$W$4)</f>
        <v>#DIV/0!</v>
      </c>
      <c r="D13" s="85">
        <f>INDEX('Re-Final'!$Z$4:$CY$4, ROW()-ROW($D$2)+1)</f>
        <v>0</v>
      </c>
      <c r="E13" s="87" t="e">
        <f>IF(C13="",COUNT($C$2:$C$79) + ROW()-ROW($C$2) + 1 - COUNT($C$2:C13),RANK(C13,$C$2:$C$79,0) + COUNTIF($C$2:C13,C13) - 1)</f>
        <v>#DIV/0!</v>
      </c>
      <c r="F13" s="89" t="e">
        <f t="shared" si="0"/>
        <v>#N/A</v>
      </c>
      <c r="G13" s="106" t="e">
        <f t="shared" si="1"/>
        <v>#N/A</v>
      </c>
      <c r="H13" s="108" t="e">
        <f>IF(ISBLANK(D13),"",D13/Final!$W$4)</f>
        <v>#DIV/0!</v>
      </c>
      <c r="I13" s="91" t="e">
        <f t="shared" si="2"/>
        <v>#N/A</v>
      </c>
      <c r="J13" s="110" t="str" cm="1">
        <f t="array" ref="J13">IF(COUNTIF($I$2:I13, I13)=1, _xlfn.TEXTJOIN(", ", TRUE, _xlfn.UNIQUE(_xlfn._xlws.FILTER($F$2:$F$79, $I$2:$I$79=I13, ""))), "")</f>
        <v/>
      </c>
      <c r="K13" s="75" t="str" cm="1">
        <f t="array" ref="K13">IF(COUNTIF($I$2:I13,I13)=1,_xlfn.TEXTJOIN(", ",TRUE,IF($I$2:$I$79=I13,$G$2:$G$79,"")),"")</f>
        <v/>
      </c>
      <c r="L13" s="79" t="str">
        <f t="array" ref="L13">IF(COUNTIF($I$2:I13,I13)=1,I13,"")</f>
        <v/>
      </c>
      <c r="M13" s="80" t="str">
        <f t="array" ref="M13">IF(COUNTIF($H$2:H13,H13)=1,H13,"")</f>
        <v/>
      </c>
      <c r="N13" s="72"/>
      <c r="O13" s="77"/>
      <c r="P13" s="77"/>
      <c r="Q13" s="77"/>
      <c r="R13" s="81"/>
    </row>
    <row r="14" spans="1:18" ht="15.75" thickBot="1">
      <c r="A14" s="73" t="str" cm="1">
        <f t="array" ref="A14">INDEX('Re-Final'!$Z$1:$CY$1, LOOKUP(ROW(A13), {1,14,58,67,73,76}, {1,14,58,67,73,76}))</f>
        <v>A : Fabrics</v>
      </c>
      <c r="B14" s="73" t="str">
        <f>INDEX('Re-Final'!$Z$2:$CY$2, ROW()-ROW($B$2)+1)</f>
        <v>13.Yarn severance</v>
      </c>
      <c r="C14" s="74" t="e">
        <f>IF(ISBLANK(D14),"",D14/'Re-Final'!$W$4)</f>
        <v>#DIV/0!</v>
      </c>
      <c r="D14" s="85">
        <f>INDEX('Re-Final'!$Z$4:$CY$4, ROW()-ROW($D$2)+1)</f>
        <v>0</v>
      </c>
      <c r="E14" s="87" t="e">
        <f>IF(C14="",COUNT($C$2:$C$79) + ROW()-ROW($C$2) + 1 - COUNT($C$2:C14),RANK(C14,$C$2:$C$79,0) + COUNTIF($C$2:C14,C14) - 1)</f>
        <v>#DIV/0!</v>
      </c>
      <c r="F14" s="89" t="e">
        <f t="shared" si="0"/>
        <v>#N/A</v>
      </c>
      <c r="G14" s="106" t="e">
        <f t="shared" si="1"/>
        <v>#N/A</v>
      </c>
      <c r="H14" s="108" t="e">
        <f>IF(ISBLANK(D14),"",D14/Final!$W$4)</f>
        <v>#DIV/0!</v>
      </c>
      <c r="I14" s="91" t="e">
        <f t="shared" si="2"/>
        <v>#N/A</v>
      </c>
      <c r="J14" s="110" t="str" cm="1">
        <f t="array" ref="J14">IF(COUNTIF($I$2:I14, I14)=1, _xlfn.TEXTJOIN(", ", TRUE, _xlfn.UNIQUE(_xlfn._xlws.FILTER($F$2:$F$79, $I$2:$I$79=I14, ""))), "")</f>
        <v/>
      </c>
      <c r="K14" s="75" t="str" cm="1">
        <f t="array" ref="K14">IF(COUNTIF($I$2:I14,I14)=1,_xlfn.TEXTJOIN(", ",TRUE,IF($I$2:$I$79=I14,$G$2:$G$79,"")),"")</f>
        <v/>
      </c>
      <c r="L14" s="79" t="str">
        <f t="array" ref="L14">IF(COUNTIF($I$2:I14,I14)=1,I14,"")</f>
        <v/>
      </c>
      <c r="M14" s="80" t="str">
        <f t="array" ref="M14">IF(COUNTIF($H$2:H14,H14)=1,H14,"")</f>
        <v/>
      </c>
      <c r="N14" s="72"/>
      <c r="O14" s="77"/>
      <c r="P14" s="77"/>
      <c r="Q14" s="77"/>
      <c r="R14" s="81"/>
    </row>
    <row r="15" spans="1:18" ht="15.75" thickBot="1">
      <c r="A15" s="73" t="str" cm="1">
        <f t="array" ref="A15">INDEX('Re-Final'!$Z$1:$CY$1, LOOKUP(ROW(A14), {1,14,58,67,73,76}, {1,14,58,67,73,76}))</f>
        <v>B : Sewing</v>
      </c>
      <c r="B15" s="73" t="str">
        <f>INDEX('Re-Final'!$Z$2:$CY$2, ROW()-ROW($B$2)+1)</f>
        <v>1.Hue difference</v>
      </c>
      <c r="C15" s="74" t="e">
        <f>IF(ISBLANK(D15),"",D15/'Re-Final'!$W$4)</f>
        <v>#DIV/0!</v>
      </c>
      <c r="D15" s="85">
        <f>INDEX('Re-Final'!$Z$4:$CY$4, ROW()-ROW($D$2)+1)</f>
        <v>0</v>
      </c>
      <c r="E15" s="87" t="e">
        <f>IF(C15="",COUNT($C$2:$C$79) + ROW()-ROW($C$2) + 1 - COUNT($C$2:C15),RANK(C15,$C$2:$C$79,0) + COUNTIF($C$2:C15,C15) - 1)</f>
        <v>#DIV/0!</v>
      </c>
      <c r="F15" s="89" t="e">
        <f t="shared" si="0"/>
        <v>#N/A</v>
      </c>
      <c r="G15" s="106" t="e">
        <f t="shared" si="1"/>
        <v>#N/A</v>
      </c>
      <c r="H15" s="108" t="e">
        <f>IF(ISBLANK(D15),"",D15/Final!$W$4)</f>
        <v>#DIV/0!</v>
      </c>
      <c r="I15" s="91" t="e">
        <f t="shared" si="2"/>
        <v>#N/A</v>
      </c>
      <c r="J15" s="110" t="str" cm="1">
        <f t="array" ref="J15">IF(COUNTIF($I$2:I15, I15)=1, _xlfn.TEXTJOIN(", ", TRUE, _xlfn.UNIQUE(_xlfn._xlws.FILTER($F$2:$F$79, $I$2:$I$79=I15, ""))), "")</f>
        <v/>
      </c>
      <c r="K15" s="75" t="str" cm="1">
        <f t="array" ref="K15">IF(COUNTIF($I$2:I15,I15)=1,_xlfn.TEXTJOIN(", ",TRUE,IF($I$2:$I$79=I15,$G$2:$G$79,"")),"")</f>
        <v/>
      </c>
      <c r="L15" s="79" t="str">
        <f t="array" ref="L15">IF(COUNTIF($I$2:I15,I15)=1,I15,"")</f>
        <v/>
      </c>
      <c r="M15" s="80" t="str">
        <f t="array" ref="M15">IF(COUNTIF($H$2:H15,H15)=1,H15,"")</f>
        <v/>
      </c>
      <c r="N15" s="72"/>
      <c r="O15" s="77"/>
      <c r="P15" s="77"/>
      <c r="Q15" s="77"/>
      <c r="R15" s="81"/>
    </row>
    <row r="16" spans="1:18" ht="15.75" thickBot="1">
      <c r="A16" s="73" t="str" cm="1">
        <f t="array" ref="A16">INDEX('Re-Final'!$Z$1:$CY$1, LOOKUP(ROW(A15), {1,14,58,67,73,76}, {1,14,58,67,73,76}))</f>
        <v>B : Sewing</v>
      </c>
      <c r="B16" s="73" t="str">
        <f>INDEX('Re-Final'!$Z$2:$CY$2, ROW()-ROW($B$2)+1)</f>
        <v>2.Unevenness</v>
      </c>
      <c r="C16" s="74" t="e">
        <f>IF(ISBLANK(D16),"",D16/'Re-Final'!$W$4)</f>
        <v>#DIV/0!</v>
      </c>
      <c r="D16" s="85">
        <f>INDEX('Re-Final'!$Z$4:$CY$4, ROW()-ROW($D$2)+1)</f>
        <v>0</v>
      </c>
      <c r="E16" s="87" t="e">
        <f>IF(C16="",COUNT($C$2:$C$79) + ROW()-ROW($C$2) + 1 - COUNT($C$2:C16),RANK(C16,$C$2:$C$79,0) + COUNTIF($C$2:C16,C16) - 1)</f>
        <v>#DIV/0!</v>
      </c>
      <c r="F16" s="89" t="e">
        <f t="shared" si="0"/>
        <v>#N/A</v>
      </c>
      <c r="G16" s="106" t="e">
        <f t="shared" si="1"/>
        <v>#N/A</v>
      </c>
      <c r="H16" s="108" t="e">
        <f>IF(ISBLANK(D16),"",D16/Final!$W$4)</f>
        <v>#DIV/0!</v>
      </c>
      <c r="I16" s="91" t="e">
        <f t="shared" si="2"/>
        <v>#N/A</v>
      </c>
      <c r="J16" s="110" t="str" cm="1">
        <f t="array" ref="J16">IF(COUNTIF($I$2:I16, I16)=1, _xlfn.TEXTJOIN(", ", TRUE, _xlfn.UNIQUE(_xlfn._xlws.FILTER($F$2:$F$79, $I$2:$I$79=I16, ""))), "")</f>
        <v/>
      </c>
      <c r="K16" s="75" t="str" cm="1">
        <f t="array" ref="K16">IF(COUNTIF($I$2:I16,I16)=1,_xlfn.TEXTJOIN(", ",TRUE,IF($I$2:$I$79=I16,$G$2:$G$79,"")),"")</f>
        <v/>
      </c>
      <c r="L16" s="79" t="str">
        <f t="array" ref="L16">IF(COUNTIF($I$2:I16,I16)=1,I16,"")</f>
        <v/>
      </c>
      <c r="M16" s="80" t="str">
        <f t="array" ref="M16">IF(COUNTIF($H$2:H16,H16)=1,H16,"")</f>
        <v/>
      </c>
      <c r="N16" s="72"/>
      <c r="O16" s="77"/>
      <c r="P16" s="77"/>
      <c r="Q16" s="77"/>
      <c r="R16" s="81"/>
    </row>
    <row r="17" spans="1:18" ht="15.75" thickBot="1">
      <c r="A17" s="73" t="str" cm="1">
        <f t="array" ref="A17">INDEX('Re-Final'!$Z$1:$CY$1, LOOKUP(ROW(A16), {1,14,58,67,73,76}, {1,14,58,67,73,76}))</f>
        <v>B : Sewing</v>
      </c>
      <c r="B17" s="73" t="str">
        <f>INDEX('Re-Final'!$Z$2:$CY$2, ROW()-ROW($B$2)+1)</f>
        <v>3.Pieces not symmetrical</v>
      </c>
      <c r="C17" s="74" t="e">
        <f>IF(ISBLANK(D17),"",D17/'Re-Final'!$W$4)</f>
        <v>#DIV/0!</v>
      </c>
      <c r="D17" s="85">
        <f>INDEX('Re-Final'!$Z$4:$CY$4, ROW()-ROW($D$2)+1)</f>
        <v>0</v>
      </c>
      <c r="E17" s="87" t="e">
        <f>IF(C17="",COUNT($C$2:$C$79) + ROW()-ROW($C$2) + 1 - COUNT($C$2:C17),RANK(C17,$C$2:$C$79,0) + COUNTIF($C$2:C17,C17) - 1)</f>
        <v>#DIV/0!</v>
      </c>
      <c r="F17" s="89" t="e">
        <f t="shared" si="0"/>
        <v>#N/A</v>
      </c>
      <c r="G17" s="106" t="e">
        <f t="shared" si="1"/>
        <v>#N/A</v>
      </c>
      <c r="H17" s="108" t="e">
        <f>IF(ISBLANK(D17),"",D17/Final!$W$4)</f>
        <v>#DIV/0!</v>
      </c>
      <c r="I17" s="91" t="e">
        <f t="shared" si="2"/>
        <v>#N/A</v>
      </c>
      <c r="J17" s="110" t="str" cm="1">
        <f t="array" ref="J17">IF(COUNTIF($I$2:I17, I17)=1, _xlfn.TEXTJOIN(", ", TRUE, _xlfn.UNIQUE(_xlfn._xlws.FILTER($F$2:$F$79, $I$2:$I$79=I17, ""))), "")</f>
        <v/>
      </c>
      <c r="K17" s="75" t="str" cm="1">
        <f t="array" ref="K17">IF(COUNTIF($I$2:I17,I17)=1,_xlfn.TEXTJOIN(", ",TRUE,IF($I$2:$I$79=I17,$G$2:$G$79,"")),"")</f>
        <v/>
      </c>
      <c r="L17" s="79" t="str">
        <f t="array" ref="L17">IF(COUNTIF($I$2:I17,I17)=1,I17,"")</f>
        <v/>
      </c>
      <c r="M17" s="80" t="str">
        <f t="array" ref="M17">IF(COUNTIF($H$2:H17,H17)=1,H17,"")</f>
        <v/>
      </c>
      <c r="N17" s="72"/>
      <c r="O17" s="77"/>
      <c r="P17" s="77"/>
      <c r="Q17" s="77"/>
      <c r="R17" s="81"/>
    </row>
    <row r="18" spans="1:18" ht="15.75" thickBot="1">
      <c r="A18" s="73" t="str" cm="1">
        <f t="array" ref="A18">INDEX('Re-Final'!$Z$1:$CY$1, LOOKUP(ROW(A17), {1,14,58,67,73,76}, {1,14,58,67,73,76}))</f>
        <v>B : Sewing</v>
      </c>
      <c r="B18" s="73" t="str">
        <f>INDEX('Re-Final'!$Z$2:$CY$2, ROW()-ROW($B$2)+1)</f>
        <v>4.Deformation (Defect in shape)</v>
      </c>
      <c r="C18" s="74" t="e">
        <f>IF(ISBLANK(D18),"",D18/'Re-Final'!$W$4)</f>
        <v>#DIV/0!</v>
      </c>
      <c r="D18" s="85">
        <f>INDEX('Re-Final'!$Z$4:$CY$4, ROW()-ROW($D$2)+1)</f>
        <v>0</v>
      </c>
      <c r="E18" s="87" t="e">
        <f>IF(C18="",COUNT($C$2:$C$79) + ROW()-ROW($C$2) + 1 - COUNT($C$2:C18),RANK(C18,$C$2:$C$79,0) + COUNTIF($C$2:C18,C18) - 1)</f>
        <v>#DIV/0!</v>
      </c>
      <c r="F18" s="89" t="e">
        <f t="shared" si="0"/>
        <v>#N/A</v>
      </c>
      <c r="G18" s="106" t="e">
        <f t="shared" si="1"/>
        <v>#N/A</v>
      </c>
      <c r="H18" s="108" t="e">
        <f>IF(ISBLANK(D18),"",D18/Final!$W$4)</f>
        <v>#DIV/0!</v>
      </c>
      <c r="I18" s="91" t="e">
        <f t="shared" si="2"/>
        <v>#N/A</v>
      </c>
      <c r="J18" s="110" t="str" cm="1">
        <f t="array" ref="J18">IF(COUNTIF($I$2:I18, I18)=1, _xlfn.TEXTJOIN(", ", TRUE, _xlfn.UNIQUE(_xlfn._xlws.FILTER($F$2:$F$79, $I$2:$I$79=I18, ""))), "")</f>
        <v/>
      </c>
      <c r="K18" s="75" t="str" cm="1">
        <f t="array" ref="K18">IF(COUNTIF($I$2:I18,I18)=1,_xlfn.TEXTJOIN(", ",TRUE,IF($I$2:$I$79=I18,$G$2:$G$79,"")),"")</f>
        <v/>
      </c>
      <c r="L18" s="79" t="str">
        <f t="array" ref="L18">IF(COUNTIF($I$2:I18,I18)=1,I18,"")</f>
        <v/>
      </c>
      <c r="M18" s="80" t="str">
        <f t="array" ref="M18">IF(COUNTIF($H$2:H18,H18)=1,H18,"")</f>
        <v/>
      </c>
      <c r="N18" s="72"/>
      <c r="O18" s="77"/>
      <c r="P18" s="77"/>
      <c r="Q18" s="77"/>
      <c r="R18" s="81"/>
    </row>
    <row r="19" spans="1:18" ht="15.75" thickBot="1">
      <c r="A19" s="73" t="str" cm="1">
        <f t="array" ref="A19">INDEX('Re-Final'!$Z$1:$CY$1, LOOKUP(ROW(A18), {1,14,58,67,73,76}, {1,14,58,67,73,76}))</f>
        <v>B : Sewing</v>
      </c>
      <c r="B19" s="73" t="str">
        <f>INDEX('Re-Final'!$Z$2:$CY$2, ROW()-ROW($B$2)+1)</f>
        <v>5.Tight or loose part of fabric</v>
      </c>
      <c r="C19" s="74" t="e">
        <f>IF(ISBLANK(D19),"",D19/'Re-Final'!$W$4)</f>
        <v>#DIV/0!</v>
      </c>
      <c r="D19" s="85">
        <f>INDEX('Re-Final'!$Z$4:$CY$4, ROW()-ROW($D$2)+1)</f>
        <v>0</v>
      </c>
      <c r="E19" s="87" t="e">
        <f>IF(C19="",COUNT($C$2:$C$79) + ROW()-ROW($C$2) + 1 - COUNT($C$2:C19),RANK(C19,$C$2:$C$79,0) + COUNTIF($C$2:C19,C19) - 1)</f>
        <v>#DIV/0!</v>
      </c>
      <c r="F19" s="89" t="e">
        <f t="shared" si="0"/>
        <v>#N/A</v>
      </c>
      <c r="G19" s="106" t="e">
        <f t="shared" si="1"/>
        <v>#N/A</v>
      </c>
      <c r="H19" s="108" t="e">
        <f>IF(ISBLANK(D19),"",D19/Final!$W$4)</f>
        <v>#DIV/0!</v>
      </c>
      <c r="I19" s="91" t="e">
        <f t="shared" si="2"/>
        <v>#N/A</v>
      </c>
      <c r="J19" s="110" t="str" cm="1">
        <f t="array" ref="J19">IF(COUNTIF($I$2:I19, I19)=1, _xlfn.TEXTJOIN(", ", TRUE, _xlfn.UNIQUE(_xlfn._xlws.FILTER($F$2:$F$79, $I$2:$I$79=I19, ""))), "")</f>
        <v/>
      </c>
      <c r="K19" s="75" t="str" cm="1">
        <f t="array" ref="K19">IF(COUNTIF($I$2:I19,I19)=1,_xlfn.TEXTJOIN(", ",TRUE,IF($I$2:$I$79=I19,$G$2:$G$79,"")),"")</f>
        <v/>
      </c>
      <c r="L19" s="79" t="str">
        <f t="array" ref="L19">IF(COUNTIF($I$2:I19,I19)=1,I19,"")</f>
        <v/>
      </c>
      <c r="M19" s="80" t="str">
        <f t="array" ref="M19">IF(COUNTIF($H$2:H19,H19)=1,H19,"")</f>
        <v/>
      </c>
      <c r="N19" s="72"/>
      <c r="O19" s="77"/>
      <c r="P19" s="77"/>
      <c r="Q19" s="77"/>
      <c r="R19" s="81"/>
    </row>
    <row r="20" spans="1:18" ht="15.75" thickBot="1">
      <c r="A20" s="73" t="str" cm="1">
        <f t="array" ref="A20">INDEX('Re-Final'!$Z$1:$CY$1, LOOKUP(ROW(A19), {1,14,58,67,73,76}, {1,14,58,67,73,76}))</f>
        <v>B : Sewing</v>
      </c>
      <c r="B20" s="73" t="str">
        <f>INDEX('Re-Final'!$Z$2:$CY$2, ROW()-ROW($B$2)+1)</f>
        <v>6.Uneven seam</v>
      </c>
      <c r="C20" s="74" t="e">
        <f>IF(ISBLANK(D20),"",D20/'Re-Final'!$W$4)</f>
        <v>#DIV/0!</v>
      </c>
      <c r="D20" s="85">
        <f>INDEX('Re-Final'!$Z$4:$CY$4, ROW()-ROW($D$2)+1)</f>
        <v>0</v>
      </c>
      <c r="E20" s="87" t="e">
        <f>IF(C20="",COUNT($C$2:$C$79) + ROW()-ROW($C$2) + 1 - COUNT($C$2:C20),RANK(C20,$C$2:$C$79,0) + COUNTIF($C$2:C20,C20) - 1)</f>
        <v>#DIV/0!</v>
      </c>
      <c r="F20" s="89" t="e">
        <f t="shared" si="0"/>
        <v>#N/A</v>
      </c>
      <c r="G20" s="106" t="e">
        <f t="shared" si="1"/>
        <v>#N/A</v>
      </c>
      <c r="H20" s="108" t="e">
        <f>IF(ISBLANK(D20),"",D20/Final!$W$4)</f>
        <v>#DIV/0!</v>
      </c>
      <c r="I20" s="91" t="e">
        <f t="shared" si="2"/>
        <v>#N/A</v>
      </c>
      <c r="J20" s="110" t="str" cm="1">
        <f t="array" ref="J20">IF(COUNTIF($I$2:I20, I20)=1, _xlfn.TEXTJOIN(", ", TRUE, _xlfn.UNIQUE(_xlfn._xlws.FILTER($F$2:$F$79, $I$2:$I$79=I20, ""))), "")</f>
        <v/>
      </c>
      <c r="K20" s="75" t="str" cm="1">
        <f t="array" ref="K20">IF(COUNTIF($I$2:I20,I20)=1,_xlfn.TEXTJOIN(", ",TRUE,IF($I$2:$I$79=I20,$G$2:$G$79,"")),"")</f>
        <v/>
      </c>
      <c r="L20" s="79" t="str">
        <f t="array" ref="L20">IF(COUNTIF($I$2:I20,I20)=1,I20,"")</f>
        <v/>
      </c>
      <c r="M20" s="80" t="str">
        <f t="array" ref="M20">IF(COUNTIF($H$2:H20,H20)=1,H20,"")</f>
        <v/>
      </c>
      <c r="N20" s="72"/>
      <c r="O20" s="77"/>
      <c r="P20" s="77"/>
      <c r="Q20" s="77"/>
      <c r="R20" s="81"/>
    </row>
    <row r="21" spans="1:18" ht="15.75" thickBot="1">
      <c r="A21" s="73" t="str" cm="1">
        <f t="array" ref="A21">INDEX('Re-Final'!$Z$1:$CY$1, LOOKUP(ROW(A20), {1,14,58,67,73,76}, {1,14,58,67,73,76}))</f>
        <v>B : Sewing</v>
      </c>
      <c r="B21" s="73" t="str">
        <f>INDEX('Re-Final'!$Z$2:$CY$2, ROW()-ROW($B$2)+1)</f>
        <v>7.Spiralty, wrinkle</v>
      </c>
      <c r="C21" s="74" t="e">
        <f>IF(ISBLANK(D21),"",D21/'Re-Final'!$W$4)</f>
        <v>#DIV/0!</v>
      </c>
      <c r="D21" s="85">
        <f>INDEX('Re-Final'!$Z$4:$CY$4, ROW()-ROW($D$2)+1)</f>
        <v>0</v>
      </c>
      <c r="E21" s="87" t="e">
        <f>IF(C21="",COUNT($C$2:$C$79) + ROW()-ROW($C$2) + 1 - COUNT($C$2:C21),RANK(C21,$C$2:$C$79,0) + COUNTIF($C$2:C21,C21) - 1)</f>
        <v>#DIV/0!</v>
      </c>
      <c r="F21" s="89" t="e">
        <f t="shared" si="0"/>
        <v>#N/A</v>
      </c>
      <c r="G21" s="106" t="e">
        <f t="shared" si="1"/>
        <v>#N/A</v>
      </c>
      <c r="H21" s="108" t="e">
        <f>IF(ISBLANK(D21),"",D21/Final!$W$4)</f>
        <v>#DIV/0!</v>
      </c>
      <c r="I21" s="91" t="e">
        <f t="shared" si="2"/>
        <v>#N/A</v>
      </c>
      <c r="J21" s="110" t="str" cm="1">
        <f t="array" ref="J21">IF(COUNTIF($I$2:I21, I21)=1, _xlfn.TEXTJOIN(", ", TRUE, _xlfn.UNIQUE(_xlfn._xlws.FILTER($F$2:$F$79, $I$2:$I$79=I21, ""))), "")</f>
        <v/>
      </c>
      <c r="K21" s="75" t="str" cm="1">
        <f t="array" ref="K21">IF(COUNTIF($I$2:I21,I21)=1,_xlfn.TEXTJOIN(", ",TRUE,IF($I$2:$I$79=I21,$G$2:$G$79,"")),"")</f>
        <v/>
      </c>
      <c r="L21" s="79" t="str">
        <f t="array" ref="L21">IF(COUNTIF($I$2:I21,I21)=1,I21,"")</f>
        <v/>
      </c>
      <c r="M21" s="80" t="str">
        <f t="array" ref="M21">IF(COUNTIF($H$2:H21,H21)=1,H21,"")</f>
        <v/>
      </c>
      <c r="N21" s="72"/>
      <c r="O21" s="77"/>
      <c r="P21" s="77"/>
      <c r="Q21" s="77"/>
      <c r="R21" s="81"/>
    </row>
    <row r="22" spans="1:18" ht="15.75" thickBot="1">
      <c r="A22" s="73" t="str" cm="1">
        <f t="array" ref="A22">INDEX('Re-Final'!$Z$1:$CY$1, LOOKUP(ROW(A21), {1,14,58,67,73,76}, {1,14,58,67,73,76}))</f>
        <v>B : Sewing</v>
      </c>
      <c r="B22" s="73" t="str">
        <f>INDEX('Re-Final'!$Z$2:$CY$2, ROW()-ROW($B$2)+1)</f>
        <v>8.PUCKERING</v>
      </c>
      <c r="C22" s="74" t="e">
        <f>IF(ISBLANK(D22),"",D22/'Re-Final'!$W$4)</f>
        <v>#DIV/0!</v>
      </c>
      <c r="D22" s="85">
        <f>INDEX('Re-Final'!$Z$4:$CY$4, ROW()-ROW($D$2)+1)</f>
        <v>0</v>
      </c>
      <c r="E22" s="87" t="e">
        <f>IF(C22="",COUNT($C$2:$C$79) + ROW()-ROW($C$2) + 1 - COUNT($C$2:C22),RANK(C22,$C$2:$C$79,0) + COUNTIF($C$2:C22,C22) - 1)</f>
        <v>#DIV/0!</v>
      </c>
      <c r="F22" s="89" t="e">
        <f t="shared" si="0"/>
        <v>#N/A</v>
      </c>
      <c r="G22" s="106" t="e">
        <f t="shared" si="1"/>
        <v>#N/A</v>
      </c>
      <c r="H22" s="108" t="e">
        <f>IF(ISBLANK(D22),"",D22/Final!$W$4)</f>
        <v>#DIV/0!</v>
      </c>
      <c r="I22" s="91" t="e">
        <f t="shared" si="2"/>
        <v>#N/A</v>
      </c>
      <c r="J22" s="110" t="str" cm="1">
        <f t="array" ref="J22">IF(COUNTIF($I$2:I22, I22)=1, _xlfn.TEXTJOIN(", ", TRUE, _xlfn.UNIQUE(_xlfn._xlws.FILTER($F$2:$F$79, $I$2:$I$79=I22, ""))), "")</f>
        <v/>
      </c>
      <c r="K22" s="75" t="str" cm="1">
        <f t="array" ref="K22">IF(COUNTIF($I$2:I22,I22)=1,_xlfn.TEXTJOIN(", ",TRUE,IF($I$2:$I$79=I22,$G$2:$G$79,"")),"")</f>
        <v/>
      </c>
      <c r="L22" s="79" t="str">
        <f t="array" ref="L22">IF(COUNTIF($I$2:I22,I22)=1,I22,"")</f>
        <v/>
      </c>
      <c r="M22" s="80" t="str">
        <f t="array" ref="M22">IF(COUNTIF($H$2:H22,H22)=1,H22,"")</f>
        <v/>
      </c>
      <c r="N22" s="72"/>
      <c r="O22" s="77"/>
      <c r="P22" s="77"/>
      <c r="Q22" s="77"/>
      <c r="R22" s="81"/>
    </row>
    <row r="23" spans="1:18" ht="15.75" thickBot="1">
      <c r="A23" s="73" t="str" cm="1">
        <f t="array" ref="A23">INDEX('Re-Final'!$Z$1:$CY$1, LOOKUP(ROW(A22), {1,14,58,67,73,76}, {1,14,58,67,73,76}))</f>
        <v>B : Sewing</v>
      </c>
      <c r="B23" s="73" t="str">
        <f>INDEX('Re-Final'!$Z$2:$CY$2, ROW()-ROW($B$2)+1)</f>
        <v>9.Corrugation</v>
      </c>
      <c r="C23" s="74" t="e">
        <f>IF(ISBLANK(D23),"",D23/'Re-Final'!$W$4)</f>
        <v>#DIV/0!</v>
      </c>
      <c r="D23" s="85">
        <f>INDEX('Re-Final'!$Z$4:$CY$4, ROW()-ROW($D$2)+1)</f>
        <v>0</v>
      </c>
      <c r="E23" s="87" t="e">
        <f>IF(C23="",COUNT($C$2:$C$79) + ROW()-ROW($C$2) + 1 - COUNT($C$2:C23),RANK(C23,$C$2:$C$79,0) + COUNTIF($C$2:C23,C23) - 1)</f>
        <v>#DIV/0!</v>
      </c>
      <c r="F23" s="89" t="e">
        <f t="shared" si="0"/>
        <v>#N/A</v>
      </c>
      <c r="G23" s="106" t="e">
        <f t="shared" si="1"/>
        <v>#N/A</v>
      </c>
      <c r="H23" s="108" t="e">
        <f>IF(ISBLANK(D23),"",D23/Final!$W$4)</f>
        <v>#DIV/0!</v>
      </c>
      <c r="I23" s="91" t="e">
        <f t="shared" si="2"/>
        <v>#N/A</v>
      </c>
      <c r="J23" s="110" t="str" cm="1">
        <f t="array" ref="J23">IF(COUNTIF($I$2:I23, I23)=1, _xlfn.TEXTJOIN(", ", TRUE, _xlfn.UNIQUE(_xlfn._xlws.FILTER($F$2:$F$79, $I$2:$I$79=I23, ""))), "")</f>
        <v/>
      </c>
      <c r="K23" s="75" t="str" cm="1">
        <f t="array" ref="K23">IF(COUNTIF($I$2:I23,I23)=1,_xlfn.TEXTJOIN(", ",TRUE,IF($I$2:$I$79=I23,$G$2:$G$79,"")),"")</f>
        <v/>
      </c>
      <c r="L23" s="79" t="str">
        <f t="array" ref="L23">IF(COUNTIF($I$2:I23,I23)=1,I23,"")</f>
        <v/>
      </c>
      <c r="M23" s="80" t="str">
        <f t="array" ref="M23">IF(COUNTIF($H$2:H23,H23)=1,H23,"")</f>
        <v/>
      </c>
      <c r="N23" s="72"/>
      <c r="O23" s="77"/>
      <c r="P23" s="77"/>
      <c r="Q23" s="77"/>
      <c r="R23" s="81"/>
    </row>
    <row r="24" spans="1:18" ht="15.75" thickBot="1">
      <c r="A24" s="73" t="str" cm="1">
        <f t="array" ref="A24">INDEX('Re-Final'!$Z$1:$CY$1, LOOKUP(ROW(A23), {1,14,58,67,73,76}, {1,14,58,67,73,76}))</f>
        <v>B : Sewing</v>
      </c>
      <c r="B24" s="73" t="str">
        <f>INDEX('Re-Final'!$Z$2:$CY$2, ROW()-ROW($B$2)+1)</f>
        <v>10.Thread breakage</v>
      </c>
      <c r="C24" s="74" t="e">
        <f>IF(ISBLANK(D24),"",D24/'Re-Final'!$W$4)</f>
        <v>#DIV/0!</v>
      </c>
      <c r="D24" s="85">
        <f>INDEX('Re-Final'!$Z$4:$CY$4, ROW()-ROW($D$2)+1)</f>
        <v>0</v>
      </c>
      <c r="E24" s="87" t="e">
        <f>IF(C24="",COUNT($C$2:$C$79) + ROW()-ROW($C$2) + 1 - COUNT($C$2:C24),RANK(C24,$C$2:$C$79,0) + COUNTIF($C$2:C24,C24) - 1)</f>
        <v>#DIV/0!</v>
      </c>
      <c r="F24" s="89" t="e">
        <f t="shared" si="0"/>
        <v>#N/A</v>
      </c>
      <c r="G24" s="106" t="e">
        <f t="shared" si="1"/>
        <v>#N/A</v>
      </c>
      <c r="H24" s="108" t="e">
        <f>IF(ISBLANK(D24),"",D24/Final!$W$4)</f>
        <v>#DIV/0!</v>
      </c>
      <c r="I24" s="91" t="e">
        <f t="shared" si="2"/>
        <v>#N/A</v>
      </c>
      <c r="J24" s="110" t="str" cm="1">
        <f t="array" ref="J24">IF(COUNTIF($I$2:I24, I24)=1, _xlfn.TEXTJOIN(", ", TRUE, _xlfn.UNIQUE(_xlfn._xlws.FILTER($F$2:$F$79, $I$2:$I$79=I24, ""))), "")</f>
        <v/>
      </c>
      <c r="K24" s="75" t="str" cm="1">
        <f t="array" ref="K24">IF(COUNTIF($I$2:I24,I24)=1,_xlfn.TEXTJOIN(", ",TRUE,IF($I$2:$I$79=I24,$G$2:$G$79,"")),"")</f>
        <v/>
      </c>
      <c r="L24" s="79" t="str">
        <f t="array" ref="L24">IF(COUNTIF($I$2:I24,I24)=1,I24,"")</f>
        <v/>
      </c>
      <c r="M24" s="80" t="str">
        <f t="array" ref="M24">IF(COUNTIF($H$2:H24,H24)=1,H24,"")</f>
        <v/>
      </c>
      <c r="N24" s="72"/>
      <c r="O24" s="77"/>
      <c r="P24" s="77"/>
      <c r="Q24" s="77"/>
      <c r="R24" s="81"/>
    </row>
    <row r="25" spans="1:18" ht="15.75" thickBot="1">
      <c r="A25" s="73" t="str" cm="1">
        <f t="array" ref="A25">INDEX('Re-Final'!$Z$1:$CY$1, LOOKUP(ROW(A24), {1,14,58,67,73,76}, {1,14,58,67,73,76}))</f>
        <v>B : Sewing</v>
      </c>
      <c r="B25" s="73" t="str">
        <f>INDEX('Re-Final'!$Z$2:$CY$2, ROW()-ROW($B$2)+1)</f>
        <v>11.Lack of elasticity</v>
      </c>
      <c r="C25" s="74" t="e">
        <f>IF(ISBLANK(D25),"",D25/'Re-Final'!$W$4)</f>
        <v>#DIV/0!</v>
      </c>
      <c r="D25" s="85">
        <f>INDEX('Re-Final'!$Z$4:$CY$4, ROW()-ROW($D$2)+1)</f>
        <v>0</v>
      </c>
      <c r="E25" s="87" t="e">
        <f>IF(C25="",COUNT($C$2:$C$79) + ROW()-ROW($C$2) + 1 - COUNT($C$2:C25),RANK(C25,$C$2:$C$79,0) + COUNTIF($C$2:C25,C25) - 1)</f>
        <v>#DIV/0!</v>
      </c>
      <c r="F25" s="89" t="e">
        <f t="shared" si="0"/>
        <v>#N/A</v>
      </c>
      <c r="G25" s="106" t="e">
        <f t="shared" si="1"/>
        <v>#N/A</v>
      </c>
      <c r="H25" s="108" t="e">
        <f>IF(ISBLANK(D25),"",D25/Final!$W$4)</f>
        <v>#DIV/0!</v>
      </c>
      <c r="I25" s="91" t="e">
        <f t="shared" si="2"/>
        <v>#N/A</v>
      </c>
      <c r="J25" s="110" t="str" cm="1">
        <f t="array" ref="J25">IF(COUNTIF($I$2:I25, I25)=1, _xlfn.TEXTJOIN(", ", TRUE, _xlfn.UNIQUE(_xlfn._xlws.FILTER($F$2:$F$79, $I$2:$I$79=I25, ""))), "")</f>
        <v/>
      </c>
      <c r="K25" s="75" t="str" cm="1">
        <f t="array" ref="K25">IF(COUNTIF($I$2:I25,I25)=1,_xlfn.TEXTJOIN(", ",TRUE,IF($I$2:$I$79=I25,$G$2:$G$79,"")),"")</f>
        <v/>
      </c>
      <c r="L25" s="79" t="str">
        <f t="array" ref="L25">IF(COUNTIF($I$2:I25,I25)=1,I25,"")</f>
        <v/>
      </c>
      <c r="M25" s="80" t="str">
        <f t="array" ref="M25">IF(COUNTIF($H$2:H25,H25)=1,H25,"")</f>
        <v/>
      </c>
      <c r="N25" s="72"/>
      <c r="O25" s="77"/>
      <c r="P25" s="77"/>
      <c r="Q25" s="77"/>
      <c r="R25" s="81"/>
    </row>
    <row r="26" spans="1:18" ht="15.75" thickBot="1">
      <c r="A26" s="73" t="str" cm="1">
        <f t="array" ref="A26">INDEX('Re-Final'!$Z$1:$CY$1, LOOKUP(ROW(A25), {1,14,58,67,73,76}, {1,14,58,67,73,76}))</f>
        <v>B : Sewing</v>
      </c>
      <c r="B26" s="73" t="str">
        <f>INDEX('Re-Final'!$Z$2:$CY$2, ROW()-ROW($B$2)+1)</f>
        <v>12.Incorrect stitching number</v>
      </c>
      <c r="C26" s="74" t="e">
        <f>IF(ISBLANK(D26),"",D26/'Re-Final'!$W$4)</f>
        <v>#DIV/0!</v>
      </c>
      <c r="D26" s="85">
        <f>INDEX('Re-Final'!$Z$4:$CY$4, ROW()-ROW($D$2)+1)</f>
        <v>0</v>
      </c>
      <c r="E26" s="87" t="e">
        <f>IF(C26="",COUNT($C$2:$C$79) + ROW()-ROW($C$2) + 1 - COUNT($C$2:C26),RANK(C26,$C$2:$C$79,0) + COUNTIF($C$2:C26,C26) - 1)</f>
        <v>#DIV/0!</v>
      </c>
      <c r="F26" s="89" t="e">
        <f t="shared" si="0"/>
        <v>#N/A</v>
      </c>
      <c r="G26" s="106" t="e">
        <f t="shared" si="1"/>
        <v>#N/A</v>
      </c>
      <c r="H26" s="108" t="e">
        <f>IF(ISBLANK(D26),"",D26/Final!$W$4)</f>
        <v>#DIV/0!</v>
      </c>
      <c r="I26" s="91" t="e">
        <f t="shared" si="2"/>
        <v>#N/A</v>
      </c>
      <c r="J26" s="110" t="str" cm="1">
        <f t="array" ref="J26">IF(COUNTIF($I$2:I26, I26)=1, _xlfn.TEXTJOIN(", ", TRUE, _xlfn.UNIQUE(_xlfn._xlws.FILTER($F$2:$F$79, $I$2:$I$79=I26, ""))), "")</f>
        <v/>
      </c>
      <c r="K26" s="75" t="str" cm="1">
        <f t="array" ref="K26">IF(COUNTIF($I$2:I26,I26)=1,_xlfn.TEXTJOIN(", ",TRUE,IF($I$2:$I$79=I26,$G$2:$G$79,"")),"")</f>
        <v/>
      </c>
      <c r="L26" s="79" t="str">
        <f t="array" ref="L26">IF(COUNTIF($I$2:I26,I26)=1,I26,"")</f>
        <v/>
      </c>
      <c r="M26" s="80" t="str">
        <f t="array" ref="M26">IF(COUNTIF($H$2:H26,H26)=1,H26,"")</f>
        <v/>
      </c>
      <c r="N26" s="72"/>
      <c r="O26" s="77"/>
      <c r="P26" s="77"/>
      <c r="Q26" s="77"/>
      <c r="R26" s="81"/>
    </row>
    <row r="27" spans="1:18" ht="15.75" thickBot="1">
      <c r="A27" s="73" t="str" cm="1">
        <f t="array" ref="A27">INDEX('Re-Final'!$Z$1:$CY$1, LOOKUP(ROW(A26), {1,14,58,67,73,76}, {1,14,58,67,73,76}))</f>
        <v>B : Sewing</v>
      </c>
      <c r="B27" s="73" t="str">
        <f>INDEX('Re-Final'!$Z$2:$CY$2, ROW()-ROW($B$2)+1)</f>
        <v>13.Stitches out of seam allowance</v>
      </c>
      <c r="C27" s="74" t="e">
        <f>IF(ISBLANK(D27),"",D27/'Re-Final'!$W$4)</f>
        <v>#DIV/0!</v>
      </c>
      <c r="D27" s="85">
        <f>INDEX('Re-Final'!$Z$4:$CY$4, ROW()-ROW($D$2)+1)</f>
        <v>0</v>
      </c>
      <c r="E27" s="87" t="e">
        <f>IF(C27="",COUNT($C$2:$C$79) + ROW()-ROW($C$2) + 1 - COUNT($C$2:C27),RANK(C27,$C$2:$C$79,0) + COUNTIF($C$2:C27,C27) - 1)</f>
        <v>#DIV/0!</v>
      </c>
      <c r="F27" s="89" t="e">
        <f t="shared" si="0"/>
        <v>#N/A</v>
      </c>
      <c r="G27" s="106" t="e">
        <f t="shared" si="1"/>
        <v>#N/A</v>
      </c>
      <c r="H27" s="108" t="e">
        <f>IF(ISBLANK(D27),"",D27/Final!$W$4)</f>
        <v>#DIV/0!</v>
      </c>
      <c r="I27" s="91" t="e">
        <f t="shared" si="2"/>
        <v>#N/A</v>
      </c>
      <c r="J27" s="110" t="str" cm="1">
        <f t="array" ref="J27">IF(COUNTIF($I$2:I27, I27)=1, _xlfn.TEXTJOIN(", ", TRUE, _xlfn.UNIQUE(_xlfn._xlws.FILTER($F$2:$F$79, $I$2:$I$79=I27, ""))), "")</f>
        <v/>
      </c>
      <c r="K27" s="75" t="str" cm="1">
        <f t="array" ref="K27">IF(COUNTIF($I$2:I27,I27)=1,_xlfn.TEXTJOIN(", ",TRUE,IF($I$2:$I$79=I27,$G$2:$G$79,"")),"")</f>
        <v/>
      </c>
      <c r="L27" s="79" t="str">
        <f t="array" ref="L27">IF(COUNTIF($I$2:I27,I27)=1,I27,"")</f>
        <v/>
      </c>
      <c r="M27" s="80" t="str">
        <f t="array" ref="M27">IF(COUNTIF($H$2:H27,H27)=1,H27,"")</f>
        <v/>
      </c>
      <c r="N27" s="72"/>
      <c r="O27" s="77"/>
      <c r="P27" s="77"/>
      <c r="Q27" s="77"/>
      <c r="R27" s="81"/>
    </row>
    <row r="28" spans="1:18" ht="15.75" thickBot="1">
      <c r="A28" s="73" t="str" cm="1">
        <f t="array" ref="A28">INDEX('Re-Final'!$Z$1:$CY$1, LOOKUP(ROW(A27), {1,14,58,67,73,76}, {1,14,58,67,73,76}))</f>
        <v>B : Sewing</v>
      </c>
      <c r="B28" s="73" t="str">
        <f>INDEX('Re-Final'!$Z$2:$CY$2, ROW()-ROW($B$2)+1)</f>
        <v>14.Missing stitch</v>
      </c>
      <c r="C28" s="74" t="e">
        <f>IF(ISBLANK(D28),"",D28/'Re-Final'!$W$4)</f>
        <v>#DIV/0!</v>
      </c>
      <c r="D28" s="85">
        <f>INDEX('Re-Final'!$Z$4:$CY$4, ROW()-ROW($D$2)+1)</f>
        <v>0</v>
      </c>
      <c r="E28" s="87" t="e">
        <f>IF(C28="",COUNT($C$2:$C$79) + ROW()-ROW($C$2) + 1 - COUNT($C$2:C28),RANK(C28,$C$2:$C$79,0) + COUNTIF($C$2:C28,C28) - 1)</f>
        <v>#DIV/0!</v>
      </c>
      <c r="F28" s="89" t="e">
        <f t="shared" si="0"/>
        <v>#N/A</v>
      </c>
      <c r="G28" s="106" t="e">
        <f t="shared" si="1"/>
        <v>#N/A</v>
      </c>
      <c r="H28" s="108" t="e">
        <f>IF(ISBLANK(D28),"",D28/Final!$W$4)</f>
        <v>#DIV/0!</v>
      </c>
      <c r="I28" s="91" t="e">
        <f t="shared" si="2"/>
        <v>#N/A</v>
      </c>
      <c r="J28" s="110" t="str" cm="1">
        <f t="array" ref="J28">IF(COUNTIF($I$2:I28, I28)=1, _xlfn.TEXTJOIN(", ", TRUE, _xlfn.UNIQUE(_xlfn._xlws.FILTER($F$2:$F$79, $I$2:$I$79=I28, ""))), "")</f>
        <v/>
      </c>
      <c r="K28" s="75" t="str" cm="1">
        <f t="array" ref="K28">IF(COUNTIF($I$2:I28,I28)=1,_xlfn.TEXTJOIN(", ",TRUE,IF($I$2:$I$79=I28,$G$2:$G$79,"")),"")</f>
        <v/>
      </c>
      <c r="L28" s="79" t="str">
        <f t="array" ref="L28">IF(COUNTIF($I$2:I28,I28)=1,I28,"")</f>
        <v/>
      </c>
      <c r="M28" s="80" t="str">
        <f t="array" ref="M28">IF(COUNTIF($H$2:H28,H28)=1,H28,"")</f>
        <v/>
      </c>
      <c r="N28" s="72"/>
      <c r="O28" s="77"/>
      <c r="P28" s="77"/>
      <c r="Q28" s="77"/>
      <c r="R28" s="81"/>
    </row>
    <row r="29" spans="1:18" ht="15.75" thickBot="1">
      <c r="A29" s="73" t="str" cm="1">
        <f t="array" ref="A29">INDEX('Re-Final'!$Z$1:$CY$1, LOOKUP(ROW(A28), {1,14,58,67,73,76}, {1,14,58,67,73,76}))</f>
        <v>B : Sewing</v>
      </c>
      <c r="B29" s="73" t="str">
        <f>INDEX('Re-Final'!$Z$2:$CY$2, ROW()-ROW($B$2)+1)</f>
        <v>15.Lack of seam allowance</v>
      </c>
      <c r="C29" s="74" t="e">
        <f>IF(ISBLANK(D29),"",D29/'Re-Final'!$W$4)</f>
        <v>#DIV/0!</v>
      </c>
      <c r="D29" s="85">
        <f>INDEX('Re-Final'!$Z$4:$CY$4, ROW()-ROW($D$2)+1)</f>
        <v>0</v>
      </c>
      <c r="E29" s="87" t="e">
        <f>IF(C29="",COUNT($C$2:$C$79) + ROW()-ROW($C$2) + 1 - COUNT($C$2:C29),RANK(C29,$C$2:$C$79,0) + COUNTIF($C$2:C29,C29) - 1)</f>
        <v>#DIV/0!</v>
      </c>
      <c r="F29" s="89" t="e">
        <f t="shared" si="0"/>
        <v>#N/A</v>
      </c>
      <c r="G29" s="106" t="e">
        <f t="shared" si="1"/>
        <v>#N/A</v>
      </c>
      <c r="H29" s="108" t="e">
        <f>IF(ISBLANK(D29),"",D29/Final!$W$4)</f>
        <v>#DIV/0!</v>
      </c>
      <c r="I29" s="91" t="e">
        <f t="shared" si="2"/>
        <v>#N/A</v>
      </c>
      <c r="J29" s="110" t="str" cm="1">
        <f t="array" ref="J29">IF(COUNTIF($I$2:I29, I29)=1, _xlfn.TEXTJOIN(", ", TRUE, _xlfn.UNIQUE(_xlfn._xlws.FILTER($F$2:$F$79, $I$2:$I$79=I29, ""))), "")</f>
        <v/>
      </c>
      <c r="K29" s="75" t="str" cm="1">
        <f t="array" ref="K29">IF(COUNTIF($I$2:I29,I29)=1,_xlfn.TEXTJOIN(", ",TRUE,IF($I$2:$I$79=I29,$G$2:$G$79,"")),"")</f>
        <v/>
      </c>
      <c r="L29" s="79" t="str">
        <f t="array" ref="L29">IF(COUNTIF($I$2:I29,I29)=1,I29,"")</f>
        <v/>
      </c>
      <c r="M29" s="80" t="str">
        <f t="array" ref="M29">IF(COUNTIF($H$2:H29,H29)=1,H29,"")</f>
        <v/>
      </c>
      <c r="N29" s="72"/>
      <c r="O29" s="77"/>
      <c r="P29" s="77"/>
      <c r="Q29" s="77"/>
      <c r="R29" s="81"/>
    </row>
    <row r="30" spans="1:18" ht="15.75" thickBot="1">
      <c r="A30" s="73" t="str" cm="1">
        <f t="array" ref="A30">INDEX('Re-Final'!$Z$1:$CY$1, LOOKUP(ROW(A29), {1,14,58,67,73,76}, {1,14,58,67,73,76}))</f>
        <v>B : Sewing</v>
      </c>
      <c r="B30" s="73" t="str">
        <f>INDEX('Re-Final'!$Z$2:$CY$2, ROW()-ROW($B$2)+1)</f>
        <v>16.Unexpected tuck</v>
      </c>
      <c r="C30" s="74" t="e">
        <f>IF(ISBLANK(D30),"",D30/'Re-Final'!$W$4)</f>
        <v>#DIV/0!</v>
      </c>
      <c r="D30" s="85">
        <f>INDEX('Re-Final'!$Z$4:$CY$4, ROW()-ROW($D$2)+1)</f>
        <v>0</v>
      </c>
      <c r="E30" s="87" t="e">
        <f>IF(C30="",COUNT($C$2:$C$79) + ROW()-ROW($C$2) + 1 - COUNT($C$2:C30),RANK(C30,$C$2:$C$79,0) + COUNTIF($C$2:C30,C30) - 1)</f>
        <v>#DIV/0!</v>
      </c>
      <c r="F30" s="89" t="e">
        <f t="shared" si="0"/>
        <v>#N/A</v>
      </c>
      <c r="G30" s="106" t="e">
        <f t="shared" si="1"/>
        <v>#N/A</v>
      </c>
      <c r="H30" s="108" t="e">
        <f>IF(ISBLANK(D30),"",D30/Final!$W$4)</f>
        <v>#DIV/0!</v>
      </c>
      <c r="I30" s="91" t="e">
        <f t="shared" si="2"/>
        <v>#N/A</v>
      </c>
      <c r="J30" s="110" t="str" cm="1">
        <f t="array" ref="J30">IF(COUNTIF($I$2:I30, I30)=1, _xlfn.TEXTJOIN(", ", TRUE, _xlfn.UNIQUE(_xlfn._xlws.FILTER($F$2:$F$79, $I$2:$I$79=I30, ""))), "")</f>
        <v/>
      </c>
      <c r="K30" s="75" t="str" cm="1">
        <f t="array" ref="K30">IF(COUNTIF($I$2:I30,I30)=1,_xlfn.TEXTJOIN(", ",TRUE,IF($I$2:$I$79=I30,$G$2:$G$79,"")),"")</f>
        <v/>
      </c>
      <c r="L30" s="79" t="str">
        <f t="array" ref="L30">IF(COUNTIF($I$2:I30,I30)=1,I30,"")</f>
        <v/>
      </c>
      <c r="M30" s="80" t="str">
        <f t="array" ref="M30">IF(COUNTIF($H$2:H30,H30)=1,H30,"")</f>
        <v/>
      </c>
      <c r="N30" s="72"/>
      <c r="O30" s="77"/>
      <c r="P30" s="77"/>
      <c r="Q30" s="77"/>
      <c r="R30" s="81"/>
    </row>
    <row r="31" spans="1:18" ht="15.75" thickBot="1">
      <c r="A31" s="73" t="str" cm="1">
        <f t="array" ref="A31">INDEX('Re-Final'!$Z$1:$CY$1, LOOKUP(ROW(A30), {1,14,58,67,73,76}, {1,14,58,67,73,76}))</f>
        <v>B : Sewing</v>
      </c>
      <c r="B31" s="73" t="str">
        <f>INDEX('Re-Final'!$Z$2:$CY$2, ROW()-ROW($B$2)+1)</f>
        <v>17.Unexpected fullness</v>
      </c>
      <c r="C31" s="74" t="e">
        <f>IF(ISBLANK(D31),"",D31/'Re-Final'!$W$4)</f>
        <v>#DIV/0!</v>
      </c>
      <c r="D31" s="85">
        <f>INDEX('Re-Final'!$Z$4:$CY$4, ROW()-ROW($D$2)+1)</f>
        <v>0</v>
      </c>
      <c r="E31" s="87" t="e">
        <f>IF(C31="",COUNT($C$2:$C$79) + ROW()-ROW($C$2) + 1 - COUNT($C$2:C31),RANK(C31,$C$2:$C$79,0) + COUNTIF($C$2:C31,C31) - 1)</f>
        <v>#DIV/0!</v>
      </c>
      <c r="F31" s="89" t="e">
        <f t="shared" si="0"/>
        <v>#N/A</v>
      </c>
      <c r="G31" s="106" t="e">
        <f t="shared" si="1"/>
        <v>#N/A</v>
      </c>
      <c r="H31" s="108" t="e">
        <f>IF(ISBLANK(D31),"",D31/Final!$W$4)</f>
        <v>#DIV/0!</v>
      </c>
      <c r="I31" s="91" t="e">
        <f t="shared" si="2"/>
        <v>#N/A</v>
      </c>
      <c r="J31" s="110" t="str" cm="1">
        <f t="array" ref="J31">IF(COUNTIF($I$2:I31, I31)=1, _xlfn.TEXTJOIN(", ", TRUE, _xlfn.UNIQUE(_xlfn._xlws.FILTER($F$2:$F$79, $I$2:$I$79=I31, ""))), "")</f>
        <v/>
      </c>
      <c r="K31" s="75" t="str" cm="1">
        <f t="array" ref="K31">IF(COUNTIF($I$2:I31,I31)=1,_xlfn.TEXTJOIN(", ",TRUE,IF($I$2:$I$79=I31,$G$2:$G$79,"")),"")</f>
        <v/>
      </c>
      <c r="L31" s="79" t="str">
        <f t="array" ref="L31">IF(COUNTIF($I$2:I31,I31)=1,I31,"")</f>
        <v/>
      </c>
      <c r="M31" s="80" t="str">
        <f t="array" ref="M31">IF(COUNTIF($H$2:H31,H31)=1,H31,"")</f>
        <v/>
      </c>
      <c r="N31" s="72"/>
      <c r="O31" s="77"/>
      <c r="P31" s="77"/>
      <c r="Q31" s="77"/>
      <c r="R31" s="81"/>
    </row>
    <row r="32" spans="1:18" ht="15.75" thickBot="1">
      <c r="A32" s="73" t="str" cm="1">
        <f t="array" ref="A32">INDEX('Re-Final'!$Z$1:$CY$1, LOOKUP(ROW(A31), {1,14,58,67,73,76}, {1,14,58,67,73,76}))</f>
        <v>B : Sewing</v>
      </c>
      <c r="B32" s="73" t="str">
        <f>INDEX('Re-Final'!$Z$2:$CY$2, ROW()-ROW($B$2)+1)</f>
        <v>18.Needle mark</v>
      </c>
      <c r="C32" s="74" t="e">
        <f>IF(ISBLANK(D32),"",D32/'Re-Final'!$W$4)</f>
        <v>#DIV/0!</v>
      </c>
      <c r="D32" s="85">
        <f>INDEX('Re-Final'!$Z$4:$CY$4, ROW()-ROW($D$2)+1)</f>
        <v>0</v>
      </c>
      <c r="E32" s="87" t="e">
        <f>IF(C32="",COUNT($C$2:$C$79) + ROW()-ROW($C$2) + 1 - COUNT($C$2:C32),RANK(C32,$C$2:$C$79,0) + COUNTIF($C$2:C32,C32) - 1)</f>
        <v>#DIV/0!</v>
      </c>
      <c r="F32" s="89" t="e">
        <f t="shared" si="0"/>
        <v>#N/A</v>
      </c>
      <c r="G32" s="106" t="e">
        <f t="shared" si="1"/>
        <v>#N/A</v>
      </c>
      <c r="H32" s="108" t="e">
        <f>IF(ISBLANK(D32),"",D32/Final!$W$4)</f>
        <v>#DIV/0!</v>
      </c>
      <c r="I32" s="91" t="e">
        <f t="shared" si="2"/>
        <v>#N/A</v>
      </c>
      <c r="J32" s="110" t="str" cm="1">
        <f t="array" ref="J32">IF(COUNTIF($I$2:I32, I32)=1, _xlfn.TEXTJOIN(", ", TRUE, _xlfn.UNIQUE(_xlfn._xlws.FILTER($F$2:$F$79, $I$2:$I$79=I32, ""))), "")</f>
        <v/>
      </c>
      <c r="K32" s="75" t="str" cm="1">
        <f t="array" ref="K32">IF(COUNTIF($I$2:I32,I32)=1,_xlfn.TEXTJOIN(", ",TRUE,IF($I$2:$I$79=I32,$G$2:$G$79,"")),"")</f>
        <v/>
      </c>
      <c r="L32" s="79" t="str">
        <f t="array" ref="L32">IF(COUNTIF($I$2:I32,I32)=1,I32,"")</f>
        <v/>
      </c>
      <c r="M32" s="80" t="str">
        <f t="array" ref="M32">IF(COUNTIF($H$2:H32,H32)=1,H32,"")</f>
        <v/>
      </c>
      <c r="N32" s="72"/>
      <c r="O32" s="77"/>
      <c r="P32" s="77"/>
      <c r="Q32" s="77"/>
      <c r="R32" s="81"/>
    </row>
    <row r="33" spans="1:18" ht="15.75" thickBot="1">
      <c r="A33" s="73" t="str" cm="1">
        <f t="array" ref="A33">INDEX('Re-Final'!$Z$1:$CY$1, LOOKUP(ROW(A32), {1,14,58,67,73,76}, {1,14,58,67,73,76}))</f>
        <v>B : Sewing</v>
      </c>
      <c r="B33" s="73" t="str">
        <f>INDEX('Re-Final'!$Z$2:$CY$2, ROW()-ROW($B$2)+1)</f>
        <v>19.Sewing defects caused by machine</v>
      </c>
      <c r="C33" s="74" t="e">
        <f>IF(ISBLANK(D33),"",D33/'Re-Final'!$W$4)</f>
        <v>#DIV/0!</v>
      </c>
      <c r="D33" s="85">
        <f>INDEX('Re-Final'!$Z$4:$CY$4, ROW()-ROW($D$2)+1)</f>
        <v>0</v>
      </c>
      <c r="E33" s="87" t="e">
        <f>IF(C33="",COUNT($C$2:$C$79) + ROW()-ROW($C$2) + 1 - COUNT($C$2:C33),RANK(C33,$C$2:$C$79,0) + COUNTIF($C$2:C33,C33) - 1)</f>
        <v>#DIV/0!</v>
      </c>
      <c r="F33" s="89" t="e">
        <f t="shared" si="0"/>
        <v>#N/A</v>
      </c>
      <c r="G33" s="106" t="e">
        <f t="shared" si="1"/>
        <v>#N/A</v>
      </c>
      <c r="H33" s="108" t="e">
        <f>IF(ISBLANK(D33),"",D33/Final!$W$4)</f>
        <v>#DIV/0!</v>
      </c>
      <c r="I33" s="91" t="e">
        <f t="shared" si="2"/>
        <v>#N/A</v>
      </c>
      <c r="J33" s="110" t="str" cm="1">
        <f t="array" ref="J33">IF(COUNTIF($I$2:I33, I33)=1, _xlfn.TEXTJOIN(", ", TRUE, _xlfn.UNIQUE(_xlfn._xlws.FILTER($F$2:$F$79, $I$2:$I$79=I33, ""))), "")</f>
        <v/>
      </c>
      <c r="K33" s="75" t="str" cm="1">
        <f t="array" ref="K33">IF(COUNTIF($I$2:I33,I33)=1,_xlfn.TEXTJOIN(", ",TRUE,IF($I$2:$I$79=I33,$G$2:$G$79,"")),"")</f>
        <v/>
      </c>
      <c r="L33" s="79" t="str">
        <f t="array" ref="L33">IF(COUNTIF($I$2:I33,I33)=1,I33,"")</f>
        <v/>
      </c>
      <c r="M33" s="80" t="str">
        <f t="array" ref="M33">IF(COUNTIF($H$2:H33,H33)=1,H33,"")</f>
        <v/>
      </c>
      <c r="N33" s="72"/>
      <c r="O33" s="77"/>
      <c r="P33" s="77"/>
      <c r="Q33" s="77"/>
      <c r="R33" s="81"/>
    </row>
    <row r="34" spans="1:18" ht="15.75" thickBot="1">
      <c r="A34" s="73" t="str" cm="1">
        <f t="array" ref="A34">INDEX('Re-Final'!$Z$1:$CY$1, LOOKUP(ROW(A33), {1,14,58,67,73,76}, {1,14,58,67,73,76}))</f>
        <v>B : Sewing</v>
      </c>
      <c r="B34" s="73" t="str">
        <f>INDEX('Re-Final'!$Z$2:$CY$2, ROW()-ROW($B$2)+1)</f>
        <v>20.Incorrect size of lining</v>
      </c>
      <c r="C34" s="74" t="e">
        <f>IF(ISBLANK(D34),"",D34/'Re-Final'!$W$4)</f>
        <v>#DIV/0!</v>
      </c>
      <c r="D34" s="85">
        <f>INDEX('Re-Final'!$Z$4:$CY$4, ROW()-ROW($D$2)+1)</f>
        <v>0</v>
      </c>
      <c r="E34" s="87" t="e">
        <f>IF(C34="",COUNT($C$2:$C$79) + ROW()-ROW($C$2) + 1 - COUNT($C$2:C34),RANK(C34,$C$2:$C$79,0) + COUNTIF($C$2:C34,C34) - 1)</f>
        <v>#DIV/0!</v>
      </c>
      <c r="F34" s="89" t="e">
        <f t="shared" ref="F34:F65" si="4">INDEX($A:$A, MATCH(G34, $B:$B, 0))</f>
        <v>#N/A</v>
      </c>
      <c r="G34" s="106" t="e">
        <f t="shared" ref="G34:G65" si="5">INDEX($B$2:$B$79,MATCH(ROW()-1,$E$2:$E$79,0))</f>
        <v>#N/A</v>
      </c>
      <c r="H34" s="108" t="e">
        <f>IF(ISBLANK(D34),"",D34/Final!$W$4)</f>
        <v>#DIV/0!</v>
      </c>
      <c r="I34" s="91" t="e">
        <f t="shared" si="2"/>
        <v>#N/A</v>
      </c>
      <c r="J34" s="110" t="str" cm="1">
        <f t="array" ref="J34">IF(COUNTIF($I$2:I34, I34)=1, _xlfn.TEXTJOIN(", ", TRUE, _xlfn.UNIQUE(_xlfn._xlws.FILTER($F$2:$F$79, $I$2:$I$79=I34, ""))), "")</f>
        <v/>
      </c>
      <c r="K34" s="75" t="str" cm="1">
        <f t="array" ref="K34">IF(COUNTIF($I$2:I34,I34)=1,_xlfn.TEXTJOIN(", ",TRUE,IF($I$2:$I$79=I34,$G$2:$G$79,"")),"")</f>
        <v/>
      </c>
      <c r="L34" s="79" t="str">
        <f t="array" ref="L34">IF(COUNTIF($I$2:I34,I34)=1,I34,"")</f>
        <v/>
      </c>
      <c r="M34" s="80" t="str">
        <f t="array" ref="M34">IF(COUNTIF($H$2:H34,H34)=1,H34,"")</f>
        <v/>
      </c>
      <c r="N34" s="72"/>
      <c r="O34" s="77"/>
      <c r="P34" s="77"/>
      <c r="Q34" s="77"/>
      <c r="R34" s="81"/>
    </row>
    <row r="35" spans="1:18" ht="15.75" thickBot="1">
      <c r="A35" s="73" t="str" cm="1">
        <f t="array" ref="A35">INDEX('Re-Final'!$Z$1:$CY$1, LOOKUP(ROW(A34), {1,14,58,67,73,76}, {1,14,58,67,73,76}))</f>
        <v>B : Sewing</v>
      </c>
      <c r="B35" s="73" t="str">
        <f>INDEX('Re-Final'!$Z$2:$CY$2, ROW()-ROW($B$2)+1)</f>
        <v>21.Skipped stitch</v>
      </c>
      <c r="C35" s="74" t="e">
        <f>IF(ISBLANK(D35),"",D35/'Re-Final'!$W$4)</f>
        <v>#DIV/0!</v>
      </c>
      <c r="D35" s="85">
        <f>INDEX('Re-Final'!$Z$4:$CY$4, ROW()-ROW($D$2)+1)</f>
        <v>0</v>
      </c>
      <c r="E35" s="87" t="e">
        <f>IF(C35="",COUNT($C$2:$C$79) + ROW()-ROW($C$2) + 1 - COUNT($C$2:C35),RANK(C35,$C$2:$C$79,0) + COUNTIF($C$2:C35,C35) - 1)</f>
        <v>#DIV/0!</v>
      </c>
      <c r="F35" s="89" t="e">
        <f t="shared" si="4"/>
        <v>#N/A</v>
      </c>
      <c r="G35" s="106" t="e">
        <f t="shared" si="5"/>
        <v>#N/A</v>
      </c>
      <c r="H35" s="108" t="e">
        <f>IF(ISBLANK(D35),"",D35/Final!$W$4)</f>
        <v>#DIV/0!</v>
      </c>
      <c r="I35" s="91" t="e">
        <f t="shared" si="2"/>
        <v>#N/A</v>
      </c>
      <c r="J35" s="110" t="str" cm="1">
        <f t="array" ref="J35">IF(COUNTIF($I$2:I35, I35)=1, _xlfn.TEXTJOIN(", ", TRUE, _xlfn.UNIQUE(_xlfn._xlws.FILTER($F$2:$F$79, $I$2:$I$79=I35, ""))), "")</f>
        <v/>
      </c>
      <c r="K35" s="75" t="str" cm="1">
        <f t="array" ref="K35">IF(COUNTIF($I$2:I35,I35)=1,_xlfn.TEXTJOIN(", ",TRUE,IF($I$2:$I$79=I35,$G$2:$G$79,"")),"")</f>
        <v/>
      </c>
      <c r="L35" s="79" t="str">
        <f t="array" ref="L35">IF(COUNTIF($I$2:I35,I35)=1,I35,"")</f>
        <v/>
      </c>
      <c r="M35" s="80" t="str">
        <f t="array" ref="M35">IF(COUNTIF($H$2:H35,H35)=1,H35,"")</f>
        <v/>
      </c>
      <c r="N35" s="72"/>
      <c r="O35" s="77"/>
      <c r="P35" s="77"/>
      <c r="Q35" s="77"/>
      <c r="R35" s="81"/>
    </row>
    <row r="36" spans="1:18" ht="15.75" thickBot="1">
      <c r="A36" s="73" t="str" cm="1">
        <f t="array" ref="A36">INDEX('Re-Final'!$Z$1:$CY$1, LOOKUP(ROW(A35), {1,14,58,67,73,76}, {1,14,58,67,73,76}))</f>
        <v>B : Sewing</v>
      </c>
      <c r="B36" s="73" t="str">
        <f>INDEX('Re-Final'!$Z$2:$CY$2, ROW()-ROW($B$2)+1)</f>
        <v>22.Sewing involving unexpected parts</v>
      </c>
      <c r="C36" s="74" t="e">
        <f>IF(ISBLANK(D36),"",D36/'Re-Final'!$W$4)</f>
        <v>#DIV/0!</v>
      </c>
      <c r="D36" s="85">
        <f>INDEX('Re-Final'!$Z$4:$CY$4, ROW()-ROW($D$2)+1)</f>
        <v>0</v>
      </c>
      <c r="E36" s="87" t="e">
        <f>IF(C36="",COUNT($C$2:$C$79) + ROW()-ROW($C$2) + 1 - COUNT($C$2:C36),RANK(C36,$C$2:$C$79,0) + COUNTIF($C$2:C36,C36) - 1)</f>
        <v>#DIV/0!</v>
      </c>
      <c r="F36" s="89" t="e">
        <f t="shared" si="4"/>
        <v>#N/A</v>
      </c>
      <c r="G36" s="106" t="e">
        <f t="shared" si="5"/>
        <v>#N/A</v>
      </c>
      <c r="H36" s="108" t="e">
        <f>IF(ISBLANK(D36),"",D36/Final!$W$4)</f>
        <v>#DIV/0!</v>
      </c>
      <c r="I36" s="91" t="e">
        <f t="shared" si="2"/>
        <v>#N/A</v>
      </c>
      <c r="J36" s="110" t="str" cm="1">
        <f t="array" ref="J36">IF(COUNTIF($I$2:I36, I36)=1, _xlfn.TEXTJOIN(", ", TRUE, _xlfn.UNIQUE(_xlfn._xlws.FILTER($F$2:$F$79, $I$2:$I$79=I36, ""))), "")</f>
        <v/>
      </c>
      <c r="K36" s="75" t="str" cm="1">
        <f t="array" ref="K36">IF(COUNTIF($I$2:I36,I36)=1,_xlfn.TEXTJOIN(", ",TRUE,IF($I$2:$I$79=I36,$G$2:$G$79,"")),"")</f>
        <v/>
      </c>
      <c r="L36" s="79" t="str">
        <f t="array" ref="L36">IF(COUNTIF($I$2:I36,I36)=1,I36,"")</f>
        <v/>
      </c>
      <c r="M36" s="80" t="str">
        <f t="array" ref="M36">IF(COUNTIF($H$2:H36,H36)=1,H36,"")</f>
        <v/>
      </c>
      <c r="N36" s="72"/>
      <c r="O36" s="77"/>
      <c r="P36" s="77"/>
      <c r="Q36" s="77"/>
      <c r="R36" s="81"/>
    </row>
    <row r="37" spans="1:18" ht="15.75" thickBot="1">
      <c r="A37" s="73" t="str" cm="1">
        <f t="array" ref="A37">INDEX('Re-Final'!$Z$1:$CY$1, LOOKUP(ROW(A36), {1,14,58,67,73,76}, {1,14,58,67,73,76}))</f>
        <v>B : Sewing</v>
      </c>
      <c r="B37" s="73" t="str">
        <f>INDEX('Re-Final'!$Z$2:$CY$2, ROW()-ROW($B$2)+1)</f>
        <v>23.Missing sewing process</v>
      </c>
      <c r="C37" s="74" t="e">
        <f>IF(ISBLANK(D37),"",D37/'Re-Final'!$W$4)</f>
        <v>#DIV/0!</v>
      </c>
      <c r="D37" s="85">
        <f>INDEX('Re-Final'!$Z$4:$CY$4, ROW()-ROW($D$2)+1)</f>
        <v>0</v>
      </c>
      <c r="E37" s="87" t="e">
        <f>IF(C37="",COUNT($C$2:$C$79) + ROW()-ROW($C$2) + 1 - COUNT($C$2:C37),RANK(C37,$C$2:$C$79,0) + COUNTIF($C$2:C37,C37) - 1)</f>
        <v>#DIV/0!</v>
      </c>
      <c r="F37" s="89" t="e">
        <f t="shared" si="4"/>
        <v>#N/A</v>
      </c>
      <c r="G37" s="106" t="e">
        <f t="shared" si="5"/>
        <v>#N/A</v>
      </c>
      <c r="H37" s="108" t="e">
        <f>IF(ISBLANK(D37),"",D37/Final!$W$4)</f>
        <v>#DIV/0!</v>
      </c>
      <c r="I37" s="91" t="e">
        <f t="shared" si="2"/>
        <v>#N/A</v>
      </c>
      <c r="J37" s="110" t="str" cm="1">
        <f t="array" ref="J37">IF(COUNTIF($I$2:I37, I37)=1, _xlfn.TEXTJOIN(", ", TRUE, _xlfn.UNIQUE(_xlfn._xlws.FILTER($F$2:$F$79, $I$2:$I$79=I37, ""))), "")</f>
        <v/>
      </c>
      <c r="K37" s="75" t="str" cm="1">
        <f t="array" ref="K37">IF(COUNTIF($I$2:I37,I37)=1,_xlfn.TEXTJOIN(", ",TRUE,IF($I$2:$I$79=I37,$G$2:$G$79,"")),"")</f>
        <v/>
      </c>
      <c r="L37" s="79" t="str">
        <f t="array" ref="L37">IF(COUNTIF($I$2:I37,I37)=1,I37,"")</f>
        <v/>
      </c>
      <c r="M37" s="80" t="str">
        <f t="array" ref="M37">IF(COUNTIF($H$2:H37,H37)=1,H37,"")</f>
        <v/>
      </c>
      <c r="N37" s="72"/>
    </row>
    <row r="38" spans="1:18" ht="15.75" thickBot="1">
      <c r="A38" s="73" t="str" cm="1">
        <f t="array" ref="A38">INDEX('Re-Final'!$Z$1:$CY$1, LOOKUP(ROW(A37), {1,14,58,67,73,76}, {1,14,58,67,73,76}))</f>
        <v>B : Sewing</v>
      </c>
      <c r="B38" s="73" t="str">
        <f>INDEX('Re-Final'!$Z$2:$CY$2, ROW()-ROW($B$2)+1)</f>
        <v>24.Mislocated bar-tack</v>
      </c>
      <c r="C38" s="74" t="e">
        <f>IF(ISBLANK(D38),"",D38/'Re-Final'!$W$4)</f>
        <v>#DIV/0!</v>
      </c>
      <c r="D38" s="85">
        <f>INDEX('Re-Final'!$Z$4:$CY$4, ROW()-ROW($D$2)+1)</f>
        <v>0</v>
      </c>
      <c r="E38" s="87" t="e">
        <f>IF(C38="",COUNT($C$2:$C$79) + ROW()-ROW($C$2) + 1 - COUNT($C$2:C38),RANK(C38,$C$2:$C$79,0) + COUNTIF($C$2:C38,C38) - 1)</f>
        <v>#DIV/0!</v>
      </c>
      <c r="F38" s="89" t="e">
        <f t="shared" si="4"/>
        <v>#N/A</v>
      </c>
      <c r="G38" s="106" t="e">
        <f t="shared" si="5"/>
        <v>#N/A</v>
      </c>
      <c r="H38" s="108" t="e">
        <f>IF(ISBLANK(D38),"",D38/Final!$W$4)</f>
        <v>#DIV/0!</v>
      </c>
      <c r="I38" s="91" t="e">
        <f t="shared" si="2"/>
        <v>#N/A</v>
      </c>
      <c r="J38" s="110" t="str" cm="1">
        <f t="array" ref="J38">IF(COUNTIF($I$2:I38, I38)=1, _xlfn.TEXTJOIN(", ", TRUE, _xlfn.UNIQUE(_xlfn._xlws.FILTER($F$2:$F$79, $I$2:$I$79=I38, ""))), "")</f>
        <v/>
      </c>
      <c r="K38" s="75" t="str" cm="1">
        <f t="array" ref="K38">IF(COUNTIF($I$2:I38,I38)=1,_xlfn.TEXTJOIN(", ",TRUE,IF($I$2:$I$79=I38,$G$2:$G$79,"")),"")</f>
        <v/>
      </c>
      <c r="L38" s="82" t="str">
        <f t="array" ref="L38">IF(COUNTIF($I$2:I38,I38)=1,I38,"")</f>
        <v/>
      </c>
      <c r="M38" s="83" t="str">
        <f t="array" ref="M38">IF(COUNTIF($H$2:H38,H38)=1,H38,"")</f>
        <v/>
      </c>
      <c r="N38" s="72"/>
    </row>
    <row r="39" spans="1:18">
      <c r="A39" s="73" t="str" cm="1">
        <f t="array" ref="A39">INDEX('Re-Final'!$Z$1:$CY$1, LOOKUP(ROW(A38), {1,14,58,67,73,76}, {1,14,58,67,73,76}))</f>
        <v>B : Sewing</v>
      </c>
      <c r="B39" s="73" t="str">
        <f>INDEX('Re-Final'!$Z$2:$CY$2, ROW()-ROW($B$2)+1)</f>
        <v>25.Incorrect thread tension</v>
      </c>
      <c r="C39" s="74" t="e">
        <f>IF(ISBLANK(D39),"",D39/'Re-Final'!$W$4)</f>
        <v>#DIV/0!</v>
      </c>
      <c r="D39" s="85">
        <f>INDEX('Re-Final'!$Z$4:$CY$4, ROW()-ROW($D$2)+1)</f>
        <v>0</v>
      </c>
      <c r="E39" s="87" t="e">
        <f>IF(C39="",COUNT($C$2:$C$79) + ROW()-ROW($C$2) + 1 - COUNT($C$2:C39),RANK(C39,$C$2:$C$79,0) + COUNTIF($C$2:C39,C39) - 1)</f>
        <v>#DIV/0!</v>
      </c>
      <c r="F39" s="89" t="e">
        <f t="shared" si="4"/>
        <v>#N/A</v>
      </c>
      <c r="G39" s="106" t="e">
        <f t="shared" si="5"/>
        <v>#N/A</v>
      </c>
      <c r="H39" s="108" t="e">
        <f>IF(ISBLANK(D39),"",D39/Final!$W$4)</f>
        <v>#DIV/0!</v>
      </c>
      <c r="I39" s="91" t="e">
        <f t="shared" si="2"/>
        <v>#N/A</v>
      </c>
    </row>
    <row r="40" spans="1:18">
      <c r="A40" s="73" t="str" cm="1">
        <f t="array" ref="A40">INDEX('Re-Final'!$Z$1:$CY$1, LOOKUP(ROW(A39), {1,14,58,67,73,76}, {1,14,58,67,73,76}))</f>
        <v>B : Sewing</v>
      </c>
      <c r="B40" s="73" t="str">
        <f>INDEX('Re-Final'!$Z$2:$CY$2, ROW()-ROW($B$2)+1)</f>
        <v>26.Falling off of a thread</v>
      </c>
      <c r="C40" s="74" t="e">
        <f>IF(ISBLANK(D40),"",D40/'Re-Final'!$W$4)</f>
        <v>#DIV/0!</v>
      </c>
      <c r="D40" s="85">
        <f>INDEX('Re-Final'!$Z$4:$CY$4, ROW()-ROW($D$2)+1)</f>
        <v>0</v>
      </c>
      <c r="E40" s="87" t="e">
        <f>IF(C40="",COUNT($C$2:$C$79) + ROW()-ROW($C$2) + 1 - COUNT($C$2:C40),RANK(C40,$C$2:$C$79,0) + COUNTIF($C$2:C40,C40) - 1)</f>
        <v>#DIV/0!</v>
      </c>
      <c r="F40" s="89" t="e">
        <f t="shared" si="4"/>
        <v>#N/A</v>
      </c>
      <c r="G40" s="106" t="e">
        <f t="shared" si="5"/>
        <v>#N/A</v>
      </c>
      <c r="H40" s="108" t="e">
        <f>IF(ISBLANK(D40),"",D40/Final!$W$4)</f>
        <v>#DIV/0!</v>
      </c>
      <c r="I40" s="91" t="e">
        <f t="shared" si="2"/>
        <v>#N/A</v>
      </c>
    </row>
    <row r="41" spans="1:18">
      <c r="A41" s="73" t="str" cm="1">
        <f t="array" ref="A41">INDEX('Re-Final'!$Z$1:$CY$1, LOOKUP(ROW(A40), {1,14,58,67,73,76}, {1,14,58,67,73,76}))</f>
        <v>B : Sewing</v>
      </c>
      <c r="B41" s="73" t="str">
        <f>INDEX('Re-Final'!$Z$2:$CY$2, ROW()-ROW($B$2)+1)</f>
        <v>27.Lack of reverse stitch</v>
      </c>
      <c r="C41" s="74" t="e">
        <f>IF(ISBLANK(D41),"",D41/'Re-Final'!$W$4)</f>
        <v>#DIV/0!</v>
      </c>
      <c r="D41" s="85">
        <f>INDEX('Re-Final'!$Z$4:$CY$4, ROW()-ROW($D$2)+1)</f>
        <v>0</v>
      </c>
      <c r="E41" s="87" t="e">
        <f>IF(C41="",COUNT($C$2:$C$79) + ROW()-ROW($C$2) + 1 - COUNT($C$2:C41),RANK(C41,$C$2:$C$79,0) + COUNTIF($C$2:C41,C41) - 1)</f>
        <v>#DIV/0!</v>
      </c>
      <c r="F41" s="89" t="e">
        <f t="shared" si="4"/>
        <v>#N/A</v>
      </c>
      <c r="G41" s="106" t="e">
        <f t="shared" si="5"/>
        <v>#N/A</v>
      </c>
      <c r="H41" s="108" t="e">
        <f>IF(ISBLANK(D41),"",D41/Final!$W$4)</f>
        <v>#DIV/0!</v>
      </c>
      <c r="I41" s="91" t="e">
        <f t="shared" si="2"/>
        <v>#N/A</v>
      </c>
    </row>
    <row r="42" spans="1:18">
      <c r="A42" s="73" t="str" cm="1">
        <f t="array" ref="A42">INDEX('Re-Final'!$Z$1:$CY$1, LOOKUP(ROW(A41), {1,14,58,67,73,76}, {1,14,58,67,73,76}))</f>
        <v>B : Sewing</v>
      </c>
      <c r="B42" s="73" t="str">
        <f>INDEX('Re-Final'!$Z$2:$CY$2, ROW()-ROW($B$2)+1)</f>
        <v>28.Incorrect easing</v>
      </c>
      <c r="C42" s="74" t="e">
        <f>IF(ISBLANK(D42),"",D42/'Re-Final'!$W$4)</f>
        <v>#DIV/0!</v>
      </c>
      <c r="D42" s="85">
        <f>INDEX('Re-Final'!$Z$4:$CY$4, ROW()-ROW($D$2)+1)</f>
        <v>0</v>
      </c>
      <c r="E42" s="87" t="e">
        <f>IF(C42="",COUNT($C$2:$C$79) + ROW()-ROW($C$2) + 1 - COUNT($C$2:C42),RANK(C42,$C$2:$C$79,0) + COUNTIF($C$2:C42,C42) - 1)</f>
        <v>#DIV/0!</v>
      </c>
      <c r="F42" s="89" t="e">
        <f t="shared" si="4"/>
        <v>#N/A</v>
      </c>
      <c r="G42" s="106" t="e">
        <f t="shared" si="5"/>
        <v>#N/A</v>
      </c>
      <c r="H42" s="108" t="e">
        <f>IF(ISBLANK(D42),"",D42/Final!$W$4)</f>
        <v>#DIV/0!</v>
      </c>
      <c r="I42" s="91" t="e">
        <f t="shared" si="2"/>
        <v>#N/A</v>
      </c>
    </row>
    <row r="43" spans="1:18">
      <c r="A43" s="73" t="str" cm="1">
        <f t="array" ref="A43">INDEX('Re-Final'!$Z$1:$CY$1, LOOKUP(ROW(A42), {1,14,58,67,73,76}, {1,14,58,67,73,76}))</f>
        <v>B : Sewing</v>
      </c>
      <c r="B43" s="73" t="str">
        <f>INDEX('Re-Final'!$Z$2:$CY$2, ROW()-ROW($B$2)+1)</f>
        <v>29.Piecing defect</v>
      </c>
      <c r="C43" s="74" t="e">
        <f>IF(ISBLANK(D43),"",D43/'Re-Final'!$W$4)</f>
        <v>#DIV/0!</v>
      </c>
      <c r="D43" s="85">
        <f>INDEX('Re-Final'!$Z$4:$CY$4, ROW()-ROW($D$2)+1)</f>
        <v>0</v>
      </c>
      <c r="E43" s="87" t="e">
        <f>IF(C43="",COUNT($C$2:$C$79) + ROW()-ROW($C$2) + 1 - COUNT($C$2:C43),RANK(C43,$C$2:$C$79,0) + COUNTIF($C$2:C43,C43) - 1)</f>
        <v>#DIV/0!</v>
      </c>
      <c r="F43" s="89" t="e">
        <f t="shared" si="4"/>
        <v>#N/A</v>
      </c>
      <c r="G43" s="106" t="e">
        <f t="shared" si="5"/>
        <v>#N/A</v>
      </c>
      <c r="H43" s="108" t="e">
        <f>IF(ISBLANK(D43),"",D43/Final!$W$4)</f>
        <v>#DIV/0!</v>
      </c>
      <c r="I43" s="91" t="e">
        <f t="shared" si="2"/>
        <v>#N/A</v>
      </c>
    </row>
    <row r="44" spans="1:18">
      <c r="A44" s="73" t="str" cm="1">
        <f t="array" ref="A44">INDEX('Re-Final'!$Z$1:$CY$1, LOOKUP(ROW(A43), {1,14,58,67,73,76}, {1,14,58,67,73,76}))</f>
        <v>B : Sewing</v>
      </c>
      <c r="B44" s="73" t="str">
        <f>INDEX('Re-Final'!$Z$2:$CY$2, ROW()-ROW($B$2)+1)</f>
        <v>30.Incorrect lapped seam</v>
      </c>
      <c r="C44" s="74" t="e">
        <f>IF(ISBLANK(D44),"",D44/'Re-Final'!$W$4)</f>
        <v>#DIV/0!</v>
      </c>
      <c r="D44" s="85">
        <f>INDEX('Re-Final'!$Z$4:$CY$4, ROW()-ROW($D$2)+1)</f>
        <v>0</v>
      </c>
      <c r="E44" s="87" t="e">
        <f>IF(C44="",COUNT($C$2:$C$79) + ROW()-ROW($C$2) + 1 - COUNT($C$2:C44),RANK(C44,$C$2:$C$79,0) + COUNTIF($C$2:C44,C44) - 1)</f>
        <v>#DIV/0!</v>
      </c>
      <c r="F44" s="89" t="e">
        <f t="shared" si="4"/>
        <v>#N/A</v>
      </c>
      <c r="G44" s="106" t="e">
        <f t="shared" si="5"/>
        <v>#N/A</v>
      </c>
      <c r="H44" s="108" t="e">
        <f>IF(ISBLANK(D44),"",D44/Final!$W$4)</f>
        <v>#DIV/0!</v>
      </c>
      <c r="I44" s="91" t="e">
        <f t="shared" si="2"/>
        <v>#N/A</v>
      </c>
    </row>
    <row r="45" spans="1:18">
      <c r="A45" s="73" t="str" cm="1">
        <f t="array" ref="A45">INDEX('Re-Final'!$Z$1:$CY$1, LOOKUP(ROW(A44), {1,14,58,67,73,76}, {1,14,58,67,73,76}))</f>
        <v>B : Sewing</v>
      </c>
      <c r="B45" s="73" t="str">
        <f>INDEX('Re-Final'!$Z$2:$CY$2, ROW()-ROW($B$2)+1)</f>
        <v>31.Incorrect trimming</v>
      </c>
      <c r="C45" s="74" t="e">
        <f>IF(ISBLANK(D45),"",D45/'Re-Final'!$W$4)</f>
        <v>#DIV/0!</v>
      </c>
      <c r="D45" s="85">
        <f>INDEX('Re-Final'!$Z$4:$CY$4, ROW()-ROW($D$2)+1)</f>
        <v>0</v>
      </c>
      <c r="E45" s="87" t="e">
        <f>IF(C45="",COUNT($C$2:$C$79) + ROW()-ROW($C$2) + 1 - COUNT($C$2:C45),RANK(C45,$C$2:$C$79,0) + COUNTIF($C$2:C45,C45) - 1)</f>
        <v>#DIV/0!</v>
      </c>
      <c r="F45" s="89" t="e">
        <f t="shared" si="4"/>
        <v>#N/A</v>
      </c>
      <c r="G45" s="106" t="e">
        <f t="shared" si="5"/>
        <v>#N/A</v>
      </c>
      <c r="H45" s="108" t="e">
        <f>IF(ISBLANK(D45),"",D45/Final!$W$4)</f>
        <v>#DIV/0!</v>
      </c>
      <c r="I45" s="91" t="e">
        <f t="shared" si="2"/>
        <v>#N/A</v>
      </c>
    </row>
    <row r="46" spans="1:18">
      <c r="A46" s="73" t="str" cm="1">
        <f t="array" ref="A46">INDEX('Re-Final'!$Z$1:$CY$1, LOOKUP(ROW(A45), {1,14,58,67,73,76}, {1,14,58,67,73,76}))</f>
        <v>B : Sewing</v>
      </c>
      <c r="B46" s="73" t="str">
        <f>INDEX('Re-Final'!$Z$2:$CY$2, ROW()-ROW($B$2)+1)</f>
        <v>32.Lack of strength</v>
      </c>
      <c r="C46" s="74" t="e">
        <f>IF(ISBLANK(D46),"",D46/'Re-Final'!$W$4)</f>
        <v>#DIV/0!</v>
      </c>
      <c r="D46" s="85">
        <f>INDEX('Re-Final'!$Z$4:$CY$4, ROW()-ROW($D$2)+1)</f>
        <v>0</v>
      </c>
      <c r="E46" s="87" t="e">
        <f>IF(C46="",COUNT($C$2:$C$79) + ROW()-ROW($C$2) + 1 - COUNT($C$2:C46),RANK(C46,$C$2:$C$79,0) + COUNTIF($C$2:C46,C46) - 1)</f>
        <v>#DIV/0!</v>
      </c>
      <c r="F46" s="89" t="e">
        <f t="shared" si="4"/>
        <v>#N/A</v>
      </c>
      <c r="G46" s="106" t="e">
        <f t="shared" si="5"/>
        <v>#N/A</v>
      </c>
      <c r="H46" s="108" t="e">
        <f>IF(ISBLANK(D46),"",D46/Final!$W$4)</f>
        <v>#DIV/0!</v>
      </c>
      <c r="I46" s="91" t="e">
        <f t="shared" si="2"/>
        <v>#N/A</v>
      </c>
    </row>
    <row r="47" spans="1:18">
      <c r="A47" s="73" t="str" cm="1">
        <f t="array" ref="A47">INDEX('Re-Final'!$Z$1:$CY$1, LOOKUP(ROW(A46), {1,14,58,67,73,76}, {1,14,58,67,73,76}))</f>
        <v>B : Sewing</v>
      </c>
      <c r="B47" s="73" t="str">
        <f>INDEX('Re-Final'!$Z$2:$CY$2, ROW()-ROW($B$2)+1)</f>
        <v>33.Incorrect buttonhole sewing</v>
      </c>
      <c r="C47" s="74" t="e">
        <f>IF(ISBLANK(D47),"",D47/'Re-Final'!$W$4)</f>
        <v>#DIV/0!</v>
      </c>
      <c r="D47" s="85">
        <f>INDEX('Re-Final'!$Z$4:$CY$4, ROW()-ROW($D$2)+1)</f>
        <v>0</v>
      </c>
      <c r="E47" s="87" t="e">
        <f>IF(C47="",COUNT($C$2:$C$79) + ROW()-ROW($C$2) + 1 - COUNT($C$2:C47),RANK(C47,$C$2:$C$79,0) + COUNTIF($C$2:C47,C47) - 1)</f>
        <v>#DIV/0!</v>
      </c>
      <c r="F47" s="89" t="e">
        <f t="shared" si="4"/>
        <v>#N/A</v>
      </c>
      <c r="G47" s="106" t="e">
        <f t="shared" si="5"/>
        <v>#N/A</v>
      </c>
      <c r="H47" s="108" t="e">
        <f>IF(ISBLANK(D47),"",D47/Final!$W$4)</f>
        <v>#DIV/0!</v>
      </c>
      <c r="I47" s="91" t="e">
        <f t="shared" si="2"/>
        <v>#N/A</v>
      </c>
    </row>
    <row r="48" spans="1:18">
      <c r="A48" s="73" t="str" cm="1">
        <f t="array" ref="A48">INDEX('Re-Final'!$Z$1:$CY$1, LOOKUP(ROW(A47), {1,14,58,67,73,76}, {1,14,58,67,73,76}))</f>
        <v>B : Sewing</v>
      </c>
      <c r="B48" s="73" t="str">
        <f>INDEX('Re-Final'!$Z$2:$CY$2, ROW()-ROW($B$2)+1)</f>
        <v>34.Incorrect brand label sewing</v>
      </c>
      <c r="C48" s="74" t="e">
        <f>IF(ISBLANK(D48),"",D48/'Re-Final'!$W$4)</f>
        <v>#DIV/0!</v>
      </c>
      <c r="D48" s="85">
        <f>INDEX('Re-Final'!$Z$4:$CY$4, ROW()-ROW($D$2)+1)</f>
        <v>0</v>
      </c>
      <c r="E48" s="87" t="e">
        <f>IF(C48="",COUNT($C$2:$C$79) + ROW()-ROW($C$2) + 1 - COUNT($C$2:C48),RANK(C48,$C$2:$C$79,0) + COUNTIF($C$2:C48,C48) - 1)</f>
        <v>#DIV/0!</v>
      </c>
      <c r="F48" s="89" t="e">
        <f t="shared" si="4"/>
        <v>#N/A</v>
      </c>
      <c r="G48" s="106" t="e">
        <f t="shared" si="5"/>
        <v>#N/A</v>
      </c>
      <c r="H48" s="108" t="e">
        <f>IF(ISBLANK(D48),"",D48/Final!$W$4)</f>
        <v>#DIV/0!</v>
      </c>
      <c r="I48" s="91" t="e">
        <f t="shared" si="2"/>
        <v>#N/A</v>
      </c>
    </row>
    <row r="49" spans="1:9">
      <c r="A49" s="73" t="str" cm="1">
        <f t="array" ref="A49">INDEX('Re-Final'!$Z$1:$CY$1, LOOKUP(ROW(A48), {1,14,58,67,73,76}, {1,14,58,67,73,76}))</f>
        <v>B : Sewing</v>
      </c>
      <c r="B49" s="73" t="str">
        <f>INDEX('Re-Final'!$Z$2:$CY$2, ROW()-ROW($B$2)+1)</f>
        <v>35.Sewing slip</v>
      </c>
      <c r="C49" s="74" t="e">
        <f>IF(ISBLANK(D49),"",D49/'Re-Final'!$W$4)</f>
        <v>#DIV/0!</v>
      </c>
      <c r="D49" s="85">
        <f>INDEX('Re-Final'!$Z$4:$CY$4, ROW()-ROW($D$2)+1)</f>
        <v>0</v>
      </c>
      <c r="E49" s="87" t="e">
        <f>IF(C49="",COUNT($C$2:$C$79) + ROW()-ROW($C$2) + 1 - COUNT($C$2:C49),RANK(C49,$C$2:$C$79,0) + COUNTIF($C$2:C49,C49) - 1)</f>
        <v>#DIV/0!</v>
      </c>
      <c r="F49" s="89" t="e">
        <f t="shared" si="4"/>
        <v>#N/A</v>
      </c>
      <c r="G49" s="106" t="e">
        <f t="shared" si="5"/>
        <v>#N/A</v>
      </c>
      <c r="H49" s="108" t="e">
        <f>IF(ISBLANK(D49),"",D49/Final!$W$4)</f>
        <v>#DIV/0!</v>
      </c>
      <c r="I49" s="91" t="e">
        <f t="shared" si="2"/>
        <v>#N/A</v>
      </c>
    </row>
    <row r="50" spans="1:9">
      <c r="A50" s="73" t="str" cm="1">
        <f t="array" ref="A50">INDEX('Re-Final'!$Z$1:$CY$1, LOOKUP(ROW(A49), {1,14,58,67,73,76}, {1,14,58,67,73,76}))</f>
        <v>B : Sewing</v>
      </c>
      <c r="B50" s="73" t="str">
        <f>INDEX('Re-Final'!$Z$2:$CY$2, ROW()-ROW($B$2)+1)</f>
        <v>36.Incorrect position</v>
      </c>
      <c r="C50" s="74" t="e">
        <f>IF(ISBLANK(D50),"",D50/'Re-Final'!$W$4)</f>
        <v>#DIV/0!</v>
      </c>
      <c r="D50" s="85">
        <f>INDEX('Re-Final'!$Z$4:$CY$4, ROW()-ROW($D$2)+1)</f>
        <v>0</v>
      </c>
      <c r="E50" s="87" t="e">
        <f>IF(C50="",COUNT($C$2:$C$79) + ROW()-ROW($C$2) + 1 - COUNT($C$2:C50),RANK(C50,$C$2:$C$79,0) + COUNTIF($C$2:C50,C50) - 1)</f>
        <v>#DIV/0!</v>
      </c>
      <c r="F50" s="89" t="e">
        <f t="shared" si="4"/>
        <v>#N/A</v>
      </c>
      <c r="G50" s="106" t="e">
        <f t="shared" si="5"/>
        <v>#N/A</v>
      </c>
      <c r="H50" s="108" t="e">
        <f>IF(ISBLANK(D50),"",D50/Final!$W$4)</f>
        <v>#DIV/0!</v>
      </c>
      <c r="I50" s="91" t="e">
        <f t="shared" si="2"/>
        <v>#N/A</v>
      </c>
    </row>
    <row r="51" spans="1:9">
      <c r="A51" s="73" t="str" cm="1">
        <f t="array" ref="A51">INDEX('Re-Final'!$Z$1:$CY$1, LOOKUP(ROW(A50), {1,14,58,67,73,76}, {1,14,58,67,73,76}))</f>
        <v>B : Sewing</v>
      </c>
      <c r="B51" s="73" t="str">
        <f>INDEX('Re-Final'!$Z$2:$CY$2, ROW()-ROW($B$2)+1)</f>
        <v>37.Incorrect pattern matching</v>
      </c>
      <c r="C51" s="74" t="e">
        <f>IF(ISBLANK(D51),"",D51/'Re-Final'!$W$4)</f>
        <v>#DIV/0!</v>
      </c>
      <c r="D51" s="85">
        <f>INDEX('Re-Final'!$Z$4:$CY$4, ROW()-ROW($D$2)+1)</f>
        <v>0</v>
      </c>
      <c r="E51" s="87" t="e">
        <f>IF(C51="",COUNT($C$2:$C$79) + ROW()-ROW($C$2) + 1 - COUNT($C$2:C51),RANK(C51,$C$2:$C$79,0) + COUNTIF($C$2:C51,C51) - 1)</f>
        <v>#DIV/0!</v>
      </c>
      <c r="F51" s="89" t="e">
        <f t="shared" si="4"/>
        <v>#N/A</v>
      </c>
      <c r="G51" s="106" t="e">
        <f t="shared" si="5"/>
        <v>#N/A</v>
      </c>
      <c r="H51" s="108" t="e">
        <f>IF(ISBLANK(D51),"",D51/Final!$W$4)</f>
        <v>#DIV/0!</v>
      </c>
      <c r="I51" s="91" t="e">
        <f t="shared" si="2"/>
        <v>#N/A</v>
      </c>
    </row>
    <row r="52" spans="1:9">
      <c r="A52" s="73" t="str" cm="1">
        <f t="array" ref="A52">INDEX('Re-Final'!$Z$1:$CY$1, LOOKUP(ROW(A51), {1,14,58,67,73,76}, {1,14,58,67,73,76}))</f>
        <v>B : Sewing</v>
      </c>
      <c r="B52" s="73" t="str">
        <f>INDEX('Re-Final'!$Z$2:$CY$2, ROW()-ROW($B$2)+1)</f>
        <v>38.Peel off glue/delamination</v>
      </c>
      <c r="C52" s="74" t="e">
        <f>IF(ISBLANK(D52),"",D52/'Re-Final'!$W$4)</f>
        <v>#DIV/0!</v>
      </c>
      <c r="D52" s="85">
        <f>INDEX('Re-Final'!$Z$4:$CY$4, ROW()-ROW($D$2)+1)</f>
        <v>0</v>
      </c>
      <c r="E52" s="87" t="e">
        <f>IF(C52="",COUNT($C$2:$C$79) + ROW()-ROW($C$2) + 1 - COUNT($C$2:C52),RANK(C52,$C$2:$C$79,0) + COUNTIF($C$2:C52,C52) - 1)</f>
        <v>#DIV/0!</v>
      </c>
      <c r="F52" s="89" t="e">
        <f t="shared" si="4"/>
        <v>#N/A</v>
      </c>
      <c r="G52" s="106" t="e">
        <f t="shared" si="5"/>
        <v>#N/A</v>
      </c>
      <c r="H52" s="108" t="e">
        <f>IF(ISBLANK(D52),"",D52/Final!$W$4)</f>
        <v>#DIV/0!</v>
      </c>
      <c r="I52" s="91" t="e">
        <f t="shared" si="2"/>
        <v>#N/A</v>
      </c>
    </row>
    <row r="53" spans="1:9">
      <c r="A53" s="73" t="str" cm="1">
        <f t="array" ref="A53">INDEX('Re-Final'!$Z$1:$CY$1, LOOKUP(ROW(A52), {1,14,58,67,73,76}, {1,14,58,67,73,76}))</f>
        <v>B : Sewing</v>
      </c>
      <c r="B53" s="73" t="str">
        <f>INDEX('Re-Final'!$Z$2:$CY$2, ROW()-ROW($B$2)+1)</f>
        <v>39.Visible/see through glue</v>
      </c>
      <c r="C53" s="74" t="e">
        <f>IF(ISBLANK(D53),"",D53/'Re-Final'!$W$4)</f>
        <v>#DIV/0!</v>
      </c>
      <c r="D53" s="85">
        <f>INDEX('Re-Final'!$Z$4:$CY$4, ROW()-ROW($D$2)+1)</f>
        <v>0</v>
      </c>
      <c r="E53" s="87" t="e">
        <f>IF(C53="",COUNT($C$2:$C$79) + ROW()-ROW($C$2) + 1 - COUNT($C$2:C53),RANK(C53,$C$2:$C$79,0) + COUNTIF($C$2:C53,C53) - 1)</f>
        <v>#DIV/0!</v>
      </c>
      <c r="F53" s="89" t="e">
        <f t="shared" si="4"/>
        <v>#N/A</v>
      </c>
      <c r="G53" s="106" t="e">
        <f t="shared" si="5"/>
        <v>#N/A</v>
      </c>
      <c r="H53" s="108" t="e">
        <f>IF(ISBLANK(D53),"",D53/Final!$W$4)</f>
        <v>#DIV/0!</v>
      </c>
      <c r="I53" s="91" t="e">
        <f t="shared" si="2"/>
        <v>#N/A</v>
      </c>
    </row>
    <row r="54" spans="1:9">
      <c r="A54" s="73" t="str" cm="1">
        <f t="array" ref="A54">INDEX('Re-Final'!$Z$1:$CY$1, LOOKUP(ROW(A53), {1,14,58,67,73,76}, {1,14,58,67,73,76}))</f>
        <v>B : Sewing</v>
      </c>
      <c r="B54" s="73" t="str">
        <f>INDEX('Re-Final'!$Z$2:$CY$2, ROW()-ROW($B$2)+1)</f>
        <v>40.Bonding seam uneven/wavy</v>
      </c>
      <c r="C54" s="74" t="e">
        <f>IF(ISBLANK(D54),"",D54/'Re-Final'!$W$4)</f>
        <v>#DIV/0!</v>
      </c>
      <c r="D54" s="85">
        <f>INDEX('Re-Final'!$Z$4:$CY$4, ROW()-ROW($D$2)+1)</f>
        <v>0</v>
      </c>
      <c r="E54" s="87" t="e">
        <f>IF(C54="",COUNT($C$2:$C$79) + ROW()-ROW($C$2) + 1 - COUNT($C$2:C54),RANK(C54,$C$2:$C$79,0) + COUNTIF($C$2:C54,C54) - 1)</f>
        <v>#DIV/0!</v>
      </c>
      <c r="F54" s="89" t="e">
        <f t="shared" si="4"/>
        <v>#N/A</v>
      </c>
      <c r="G54" s="106" t="e">
        <f t="shared" si="5"/>
        <v>#N/A</v>
      </c>
      <c r="H54" s="108" t="e">
        <f>IF(ISBLANK(D54),"",D54/Final!$W$4)</f>
        <v>#DIV/0!</v>
      </c>
      <c r="I54" s="91" t="e">
        <f t="shared" si="2"/>
        <v>#N/A</v>
      </c>
    </row>
    <row r="55" spans="1:9">
      <c r="A55" s="73" t="str" cm="1">
        <f t="array" ref="A55">INDEX('Re-Final'!$Z$1:$CY$1, LOOKUP(ROW(A54), {1,14,58,67,73,76}, {1,14,58,67,73,76}))</f>
        <v>B : Sewing</v>
      </c>
      <c r="B55" s="73" t="str">
        <f>INDEX('Re-Final'!$Z$2:$CY$2, ROW()-ROW($B$2)+1)</f>
        <v>41.Bonding seam not catch up/bad selvaged</v>
      </c>
      <c r="C55" s="74" t="e">
        <f>IF(ISBLANK(D55),"",D55/'Re-Final'!$W$4)</f>
        <v>#DIV/0!</v>
      </c>
      <c r="D55" s="85">
        <f>INDEX('Re-Final'!$Z$4:$CY$4, ROW()-ROW($D$2)+1)</f>
        <v>0</v>
      </c>
      <c r="E55" s="87" t="e">
        <f>IF(C55="",COUNT($C$2:$C$79) + ROW()-ROW($C$2) + 1 - COUNT($C$2:C55),RANK(C55,$C$2:$C$79,0) + COUNTIF($C$2:C55,C55) - 1)</f>
        <v>#DIV/0!</v>
      </c>
      <c r="F55" s="89" t="e">
        <f t="shared" si="4"/>
        <v>#N/A</v>
      </c>
      <c r="G55" s="106" t="e">
        <f t="shared" si="5"/>
        <v>#N/A</v>
      </c>
      <c r="H55" s="108" t="e">
        <f>IF(ISBLANK(D55),"",D55/Final!$W$4)</f>
        <v>#DIV/0!</v>
      </c>
      <c r="I55" s="91" t="e">
        <f t="shared" si="2"/>
        <v>#N/A</v>
      </c>
    </row>
    <row r="56" spans="1:9">
      <c r="A56" s="73" t="str" cm="1">
        <f t="array" ref="A56">INDEX('Re-Final'!$Z$1:$CY$1, LOOKUP(ROW(A55), {1,14,58,67,73,76}, {1,14,58,67,73,76}))</f>
        <v>B : Sewing</v>
      </c>
      <c r="B56" s="73" t="str">
        <f>INDEX('Re-Final'!$Z$2:$CY$2, ROW()-ROW($B$2)+1)</f>
        <v>42.Stick glue/leaking glue</v>
      </c>
      <c r="C56" s="74" t="e">
        <f>IF(ISBLANK(D56),"",D56/'Re-Final'!$W$4)</f>
        <v>#DIV/0!</v>
      </c>
      <c r="D56" s="85">
        <f>INDEX('Re-Final'!$Z$4:$CY$4, ROW()-ROW($D$2)+1)</f>
        <v>0</v>
      </c>
      <c r="E56" s="87" t="e">
        <f>IF(C56="",COUNT($C$2:$C$79) + ROW()-ROW($C$2) + 1 - COUNT($C$2:C56),RANK(C56,$C$2:$C$79,0) + COUNTIF($C$2:C56,C56) - 1)</f>
        <v>#DIV/0!</v>
      </c>
      <c r="F56" s="89" t="e">
        <f t="shared" si="4"/>
        <v>#N/A</v>
      </c>
      <c r="G56" s="106" t="e">
        <f t="shared" si="5"/>
        <v>#N/A</v>
      </c>
      <c r="H56" s="108" t="e">
        <f>IF(ISBLANK(D56),"",D56/Final!$W$4)</f>
        <v>#DIV/0!</v>
      </c>
      <c r="I56" s="91" t="e">
        <f t="shared" si="2"/>
        <v>#N/A</v>
      </c>
    </row>
    <row r="57" spans="1:9">
      <c r="A57" s="73" t="str" cm="1">
        <f t="array" ref="A57">INDEX('Re-Final'!$Z$1:$CY$1, LOOKUP(ROW(A56), {1,14,58,67,73,76}, {1,14,58,67,73,76}))</f>
        <v>B : Sewing</v>
      </c>
      <c r="B57" s="73" t="str">
        <f>INDEX('Re-Final'!$Z$2:$CY$2, ROW()-ROW($B$2)+1)</f>
        <v>43.Mold Shape</v>
      </c>
      <c r="C57" s="74" t="e">
        <f>IF(ISBLANK(D57),"",D57/'Re-Final'!$W$4)</f>
        <v>#DIV/0!</v>
      </c>
      <c r="D57" s="85">
        <f>INDEX('Re-Final'!$Z$4:$CY$4, ROW()-ROW($D$2)+1)</f>
        <v>0</v>
      </c>
      <c r="E57" s="87" t="e">
        <f>IF(C57="",COUNT($C$2:$C$79) + ROW()-ROW($C$2) + 1 - COUNT($C$2:C57),RANK(C57,$C$2:$C$79,0) + COUNTIF($C$2:C57,C57) - 1)</f>
        <v>#DIV/0!</v>
      </c>
      <c r="F57" s="89" t="e">
        <f t="shared" si="4"/>
        <v>#N/A</v>
      </c>
      <c r="G57" s="106" t="e">
        <f t="shared" si="5"/>
        <v>#N/A</v>
      </c>
      <c r="H57" s="108" t="e">
        <f>IF(ISBLANK(D57),"",D57/Final!$W$4)</f>
        <v>#DIV/0!</v>
      </c>
      <c r="I57" s="91" t="e">
        <f t="shared" si="2"/>
        <v>#N/A</v>
      </c>
    </row>
    <row r="58" spans="1:9">
      <c r="A58" s="73" t="str" cm="1">
        <f t="array" ref="A58">INDEX('Re-Final'!$Z$1:$CY$1, LOOKUP(ROW(A57), {1,14,58,67,73,76}, {1,14,58,67,73,76}))</f>
        <v>B : Sewing</v>
      </c>
      <c r="B58" s="73" t="str">
        <f>INDEX('Re-Final'!$Z$2:$CY$2, ROW()-ROW($B$2)+1)</f>
        <v>44.Poor application glue position</v>
      </c>
      <c r="C58" s="74" t="e">
        <f>IF(ISBLANK(D58),"",D58/'Re-Final'!$W$4)</f>
        <v>#DIV/0!</v>
      </c>
      <c r="D58" s="85">
        <f>INDEX('Re-Final'!$Z$4:$CY$4, ROW()-ROW($D$2)+1)</f>
        <v>0</v>
      </c>
      <c r="E58" s="87" t="e">
        <f>IF(C58="",COUNT($C$2:$C$79) + ROW()-ROW($C$2) + 1 - COUNT($C$2:C58),RANK(C58,$C$2:$C$79,0) + COUNTIF($C$2:C58,C58) - 1)</f>
        <v>#DIV/0!</v>
      </c>
      <c r="F58" s="89" t="e">
        <f t="shared" si="4"/>
        <v>#N/A</v>
      </c>
      <c r="G58" s="106" t="e">
        <f t="shared" si="5"/>
        <v>#N/A</v>
      </c>
      <c r="H58" s="108" t="e">
        <f>IF(ISBLANK(D58),"",D58/Final!$W$4)</f>
        <v>#DIV/0!</v>
      </c>
      <c r="I58" s="91" t="e">
        <f t="shared" si="2"/>
        <v>#N/A</v>
      </c>
    </row>
    <row r="59" spans="1:9">
      <c r="A59" s="73" t="str" cm="1">
        <f t="array" ref="A59">INDEX('Re-Final'!$Z$1:$CY$1, LOOKUP(ROW(A58), {1,14,58,67,73,76}, {1,14,58,67,73,76}))</f>
        <v>C : ACC</v>
      </c>
      <c r="B59" s="73" t="str">
        <f>INDEX('Re-Final'!$Z$2:$CY$2, ROW()-ROW($B$2)+1)</f>
        <v>1.Unsecured rivet and snap buttons</v>
      </c>
      <c r="C59" s="74" t="e">
        <f>IF(ISBLANK(D59),"",D59/'Re-Final'!$W$4)</f>
        <v>#DIV/0!</v>
      </c>
      <c r="D59" s="85">
        <f>INDEX('Re-Final'!$Z$4:$CY$4, ROW()-ROW($D$2)+1)</f>
        <v>0</v>
      </c>
      <c r="E59" s="87" t="e">
        <f>IF(C59="",COUNT($C$2:$C$79) + ROW()-ROW($C$2) + 1 - COUNT($C$2:C59),RANK(C59,$C$2:$C$79,0) + COUNTIF($C$2:C59,C59) - 1)</f>
        <v>#DIV/0!</v>
      </c>
      <c r="F59" s="89" t="e">
        <f t="shared" si="4"/>
        <v>#N/A</v>
      </c>
      <c r="G59" s="106" t="e">
        <f t="shared" si="5"/>
        <v>#N/A</v>
      </c>
      <c r="H59" s="108" t="e">
        <f>IF(ISBLANK(D59),"",D59/Final!$W$4)</f>
        <v>#DIV/0!</v>
      </c>
      <c r="I59" s="91" t="e">
        <f t="shared" si="2"/>
        <v>#N/A</v>
      </c>
    </row>
    <row r="60" spans="1:9">
      <c r="A60" s="73" t="str" cm="1">
        <f t="array" ref="A60">INDEX('Re-Final'!$Z$1:$CY$1, LOOKUP(ROW(A59), {1,14,58,67,73,76}, {1,14,58,67,73,76}))</f>
        <v>C : ACC</v>
      </c>
      <c r="B60" s="73" t="str">
        <f>INDEX('Re-Final'!$Z$2:$CY$2, ROW()-ROW($B$2)+1)</f>
        <v>2.Incorrect swaging</v>
      </c>
      <c r="C60" s="74" t="e">
        <f>IF(ISBLANK(D60),"",D60/'Re-Final'!$W$4)</f>
        <v>#DIV/0!</v>
      </c>
      <c r="D60" s="85">
        <f>INDEX('Re-Final'!$Z$4:$CY$4, ROW()-ROW($D$2)+1)</f>
        <v>0</v>
      </c>
      <c r="E60" s="87" t="e">
        <f>IF(C60="",COUNT($C$2:$C$79) + ROW()-ROW($C$2) + 1 - COUNT($C$2:C60),RANK(C60,$C$2:$C$79,0) + COUNTIF($C$2:C60,C60) - 1)</f>
        <v>#DIV/0!</v>
      </c>
      <c r="F60" s="89" t="e">
        <f t="shared" si="4"/>
        <v>#N/A</v>
      </c>
      <c r="G60" s="106" t="e">
        <f t="shared" si="5"/>
        <v>#N/A</v>
      </c>
      <c r="H60" s="108" t="e">
        <f>IF(ISBLANK(D60),"",D60/Final!$W$4)</f>
        <v>#DIV/0!</v>
      </c>
      <c r="I60" s="91" t="e">
        <f t="shared" si="2"/>
        <v>#N/A</v>
      </c>
    </row>
    <row r="61" spans="1:9">
      <c r="A61" s="73" t="str" cm="1">
        <f t="array" ref="A61">INDEX('Re-Final'!$Z$1:$CY$1, LOOKUP(ROW(A60), {1,14,58,67,73,76}, {1,14,58,67,73,76}))</f>
        <v>C : ACC</v>
      </c>
      <c r="B61" s="73" t="str">
        <f>INDEX('Re-Final'!$Z$2:$CY$2, ROW()-ROW($B$2)+1)</f>
        <v>3.Falling off of buttons</v>
      </c>
      <c r="C61" s="74" t="e">
        <f>IF(ISBLANK(D61),"",D61/'Re-Final'!$W$4)</f>
        <v>#DIV/0!</v>
      </c>
      <c r="D61" s="85">
        <f>INDEX('Re-Final'!$Z$4:$CY$4, ROW()-ROW($D$2)+1)</f>
        <v>0</v>
      </c>
      <c r="E61" s="87" t="e">
        <f>IF(C61="",COUNT($C$2:$C$79) + ROW()-ROW($C$2) + 1 - COUNT($C$2:C61),RANK(C61,$C$2:$C$79,0) + COUNTIF($C$2:C61,C61) - 1)</f>
        <v>#DIV/0!</v>
      </c>
      <c r="F61" s="89" t="e">
        <f t="shared" si="4"/>
        <v>#N/A</v>
      </c>
      <c r="G61" s="106" t="e">
        <f t="shared" si="5"/>
        <v>#N/A</v>
      </c>
      <c r="H61" s="108" t="e">
        <f>IF(ISBLANK(D61),"",D61/Final!$W$4)</f>
        <v>#DIV/0!</v>
      </c>
      <c r="I61" s="91" t="e">
        <f t="shared" si="2"/>
        <v>#N/A</v>
      </c>
    </row>
    <row r="62" spans="1:9">
      <c r="A62" s="73" t="str" cm="1">
        <f t="array" ref="A62">INDEX('Re-Final'!$Z$1:$CY$1, LOOKUP(ROW(A61), {1,14,58,67,73,76}, {1,14,58,67,73,76}))</f>
        <v>C : ACC</v>
      </c>
      <c r="B62" s="73" t="str">
        <f>INDEX('Re-Final'!$Z$2:$CY$2, ROW()-ROW($B$2)+1)</f>
        <v>4.Burr</v>
      </c>
      <c r="C62" s="74" t="e">
        <f>IF(ISBLANK(D62),"",D62/'Re-Final'!$W$4)</f>
        <v>#DIV/0!</v>
      </c>
      <c r="D62" s="85">
        <f>INDEX('Re-Final'!$Z$4:$CY$4, ROW()-ROW($D$2)+1)</f>
        <v>0</v>
      </c>
      <c r="E62" s="87" t="e">
        <f>IF(C62="",COUNT($C$2:$C$79) + ROW()-ROW($C$2) + 1 - COUNT($C$2:C62),RANK(C62,$C$2:$C$79,0) + COUNTIF($C$2:C62,C62) - 1)</f>
        <v>#DIV/0!</v>
      </c>
      <c r="F62" s="89" t="e">
        <f t="shared" si="4"/>
        <v>#N/A</v>
      </c>
      <c r="G62" s="106" t="e">
        <f t="shared" si="5"/>
        <v>#N/A</v>
      </c>
      <c r="H62" s="108" t="e">
        <f>IF(ISBLANK(D62),"",D62/Final!$W$4)</f>
        <v>#DIV/0!</v>
      </c>
      <c r="I62" s="91" t="e">
        <f t="shared" si="2"/>
        <v>#N/A</v>
      </c>
    </row>
    <row r="63" spans="1:9">
      <c r="A63" s="73" t="str" cm="1">
        <f t="array" ref="A63">INDEX('Re-Final'!$Z$1:$CY$1, LOOKUP(ROW(A62), {1,14,58,67,73,76}, {1,14,58,67,73,76}))</f>
        <v>C : ACC</v>
      </c>
      <c r="B63" s="73" t="str">
        <f>INDEX('Re-Final'!$Z$2:$CY$2, ROW()-ROW($B$2)+1)</f>
        <v>5.Incorrect zippers</v>
      </c>
      <c r="C63" s="74" t="e">
        <f>IF(ISBLANK(D63),"",D63/'Re-Final'!$W$4)</f>
        <v>#DIV/0!</v>
      </c>
      <c r="D63" s="85">
        <f>INDEX('Re-Final'!$Z$4:$CY$4, ROW()-ROW($D$2)+1)</f>
        <v>0</v>
      </c>
      <c r="E63" s="87" t="e">
        <f>IF(C63="",COUNT($C$2:$C$79) + ROW()-ROW($C$2) + 1 - COUNT($C$2:C63),RANK(C63,$C$2:$C$79,0) + COUNTIF($C$2:C63,C63) - 1)</f>
        <v>#DIV/0!</v>
      </c>
      <c r="F63" s="89" t="e">
        <f t="shared" si="4"/>
        <v>#N/A</v>
      </c>
      <c r="G63" s="106" t="e">
        <f t="shared" si="5"/>
        <v>#N/A</v>
      </c>
      <c r="H63" s="108" t="e">
        <f>IF(ISBLANK(D63),"",D63/Final!$W$4)</f>
        <v>#DIV/0!</v>
      </c>
      <c r="I63" s="91" t="e">
        <f t="shared" si="2"/>
        <v>#N/A</v>
      </c>
    </row>
    <row r="64" spans="1:9">
      <c r="A64" s="73" t="str" cm="1">
        <f t="array" ref="A64">INDEX('Re-Final'!$Z$1:$CY$1, LOOKUP(ROW(A63), {1,14,58,67,73,76}, {1,14,58,67,73,76}))</f>
        <v>C : ACC</v>
      </c>
      <c r="B64" s="73" t="str">
        <f>INDEX('Re-Final'!$Z$2:$CY$2, ROW()-ROW($B$2)+1)</f>
        <v>6.Incorrect indication of sub materials</v>
      </c>
      <c r="C64" s="74" t="e">
        <f>IF(ISBLANK(D64),"",D64/'Re-Final'!$W$4)</f>
        <v>#DIV/0!</v>
      </c>
      <c r="D64" s="85">
        <f>INDEX('Re-Final'!$Z$4:$CY$4, ROW()-ROW($D$2)+1)</f>
        <v>0</v>
      </c>
      <c r="E64" s="87" t="e">
        <f>IF(C64="",COUNT($C$2:$C$79) + ROW()-ROW($C$2) + 1 - COUNT($C$2:C64),RANK(C64,$C$2:$C$79,0) + COUNTIF($C$2:C64,C64) - 1)</f>
        <v>#DIV/0!</v>
      </c>
      <c r="F64" s="89" t="e">
        <f t="shared" si="4"/>
        <v>#N/A</v>
      </c>
      <c r="G64" s="106" t="e">
        <f t="shared" si="5"/>
        <v>#N/A</v>
      </c>
      <c r="H64" s="108" t="e">
        <f>IF(ISBLANK(D64),"",D64/Final!$W$4)</f>
        <v>#DIV/0!</v>
      </c>
      <c r="I64" s="91" t="e">
        <f t="shared" si="2"/>
        <v>#N/A</v>
      </c>
    </row>
    <row r="65" spans="1:9">
      <c r="A65" s="73" t="str" cm="1">
        <f t="array" ref="A65">INDEX('Re-Final'!$Z$1:$CY$1, LOOKUP(ROW(A64), {1,14,58,67,73,76}, {1,14,58,67,73,76}))</f>
        <v>C : ACC</v>
      </c>
      <c r="B65" s="73" t="str">
        <f>INDEX('Re-Final'!$Z$2:$CY$2, ROW()-ROW($B$2)+1)</f>
        <v>7.Incorrect quality of materials</v>
      </c>
      <c r="C65" s="74" t="e">
        <f>IF(ISBLANK(D65),"",D65/'Re-Final'!$W$4)</f>
        <v>#DIV/0!</v>
      </c>
      <c r="D65" s="85">
        <f>INDEX('Re-Final'!$Z$4:$CY$4, ROW()-ROW($D$2)+1)</f>
        <v>0</v>
      </c>
      <c r="E65" s="87" t="e">
        <f>IF(C65="",COUNT($C$2:$C$79) + ROW()-ROW($C$2) + 1 - COUNT($C$2:C65),RANK(C65,$C$2:$C$79,0) + COUNTIF($C$2:C65,C65) - 1)</f>
        <v>#DIV/0!</v>
      </c>
      <c r="F65" s="89" t="e">
        <f t="shared" si="4"/>
        <v>#N/A</v>
      </c>
      <c r="G65" s="106" t="e">
        <f t="shared" si="5"/>
        <v>#N/A</v>
      </c>
      <c r="H65" s="108" t="e">
        <f>IF(ISBLANK(D65),"",D65/Final!$W$4)</f>
        <v>#DIV/0!</v>
      </c>
      <c r="I65" s="91" t="e">
        <f t="shared" si="2"/>
        <v>#N/A</v>
      </c>
    </row>
    <row r="66" spans="1:9">
      <c r="A66" s="73" t="str" cm="1">
        <f t="array" ref="A66">INDEX('Re-Final'!$Z$1:$CY$1, LOOKUP(ROW(A65), {1,14,58,67,73,76}, {1,14,58,67,73,76}))</f>
        <v>C : ACC</v>
      </c>
      <c r="B66" s="73" t="str">
        <f>INDEX('Re-Final'!$Z$2:$CY$2, ROW()-ROW($B$2)+1)</f>
        <v>8.Missing accessories</v>
      </c>
      <c r="C66" s="74" t="e">
        <f>IF(ISBLANK(D66),"",D66/'Re-Final'!$W$4)</f>
        <v>#DIV/0!</v>
      </c>
      <c r="D66" s="85">
        <f>INDEX('Re-Final'!$Z$4:$CY$4, ROW()-ROW($D$2)+1)</f>
        <v>0</v>
      </c>
      <c r="E66" s="87" t="e">
        <f>IF(C66="",COUNT($C$2:$C$79) + ROW()-ROW($C$2) + 1 - COUNT($C$2:C66),RANK(C66,$C$2:$C$79,0) + COUNTIF($C$2:C66,C66) - 1)</f>
        <v>#DIV/0!</v>
      </c>
      <c r="F66" s="89" t="e">
        <f t="shared" ref="F66:F79" si="6">INDEX($A:$A, MATCH(G66, $B:$B, 0))</f>
        <v>#N/A</v>
      </c>
      <c r="G66" s="106" t="e">
        <f t="shared" ref="G66:G79" si="7">INDEX($B$2:$B$79,MATCH(ROW()-1,$E$2:$E$79,0))</f>
        <v>#N/A</v>
      </c>
      <c r="H66" s="108" t="e">
        <f>IF(ISBLANK(D66),"",D66/Final!$W$4)</f>
        <v>#DIV/0!</v>
      </c>
      <c r="I66" s="91" t="e">
        <f t="shared" si="2"/>
        <v>#N/A</v>
      </c>
    </row>
    <row r="67" spans="1:9">
      <c r="A67" s="73" t="str" cm="1">
        <f t="array" ref="A67">INDEX('Re-Final'!$Z$1:$CY$1, LOOKUP(ROW(A66), {1,14,58,67,73,76}, {1,14,58,67,73,76}))</f>
        <v>C : ACC</v>
      </c>
      <c r="B67" s="73" t="str">
        <f>INDEX('Re-Final'!$Z$2:$CY$2, ROW()-ROW($B$2)+1)</f>
        <v>9.Adhesive interlining</v>
      </c>
      <c r="C67" s="74" t="e">
        <f>IF(ISBLANK(D67),"",D67/'Re-Final'!$W$4)</f>
        <v>#DIV/0!</v>
      </c>
      <c r="D67" s="85">
        <f>INDEX('Re-Final'!$Z$4:$CY$4, ROW()-ROW($D$2)+1)</f>
        <v>0</v>
      </c>
      <c r="E67" s="87" t="e">
        <f>IF(C67="",COUNT($C$2:$C$79) + ROW()-ROW($C$2) + 1 - COUNT($C$2:C67),RANK(C67,$C$2:$C$79,0) + COUNTIF($C$2:C67,C67) - 1)</f>
        <v>#DIV/0!</v>
      </c>
      <c r="F67" s="89" t="e">
        <f t="shared" si="6"/>
        <v>#N/A</v>
      </c>
      <c r="G67" s="106" t="e">
        <f t="shared" si="7"/>
        <v>#N/A</v>
      </c>
      <c r="H67" s="108" t="e">
        <f>IF(ISBLANK(D67),"",D67/Final!$W$4)</f>
        <v>#DIV/0!</v>
      </c>
      <c r="I67" s="91" t="e">
        <f t="shared" ref="I67:I79" si="8">IF(AND(INDEX($C$2:$C$79,MATCH(ROW()-1,$E$2:$E$79,0))=0,INDEX($D$2:$D$79,MATCH(ROW()-1,$E$2:$E$79,0))=0),"",INDEX($D$2:$D$79,MATCH(ROW()-1,$E$2:$E$79,0)))</f>
        <v>#N/A</v>
      </c>
    </row>
    <row r="68" spans="1:9">
      <c r="A68" s="73" t="str" cm="1">
        <f t="array" ref="A68">INDEX('Re-Final'!$Z$1:$CY$1, LOOKUP(ROW(A67), {1,14,58,67,73,76}, {1,14,58,67,73,76}))</f>
        <v>D : Finish</v>
      </c>
      <c r="B68" s="73" t="str">
        <f>INDEX('Re-Final'!$Z$2:$CY$2, ROW()-ROW($B$2)+1)</f>
        <v>1.Dust, lint</v>
      </c>
      <c r="C68" s="74" t="e">
        <f>IF(ISBLANK(D68),"",D68/'Re-Final'!$W$4)</f>
        <v>#DIV/0!</v>
      </c>
      <c r="D68" s="85">
        <f>INDEX('Re-Final'!$Z$4:$CY$4, ROW()-ROW($D$2)+1)</f>
        <v>0</v>
      </c>
      <c r="E68" s="87" t="e">
        <f>IF(C68="",COUNT($C$2:$C$79) + ROW()-ROW($C$2) + 1 - COUNT($C$2:C68),RANK(C68,$C$2:$C$79,0) + COUNTIF($C$2:C68,C68) - 1)</f>
        <v>#DIV/0!</v>
      </c>
      <c r="F68" s="89" t="e">
        <f t="shared" si="6"/>
        <v>#N/A</v>
      </c>
      <c r="G68" s="106" t="e">
        <f t="shared" si="7"/>
        <v>#N/A</v>
      </c>
      <c r="H68" s="108" t="e">
        <f>IF(ISBLANK(D68),"",D68/Final!$W$4)</f>
        <v>#DIV/0!</v>
      </c>
      <c r="I68" s="91" t="e">
        <f t="shared" si="8"/>
        <v>#N/A</v>
      </c>
    </row>
    <row r="69" spans="1:9">
      <c r="A69" s="73" t="str" cm="1">
        <f t="array" ref="A69">INDEX('Re-Final'!$Z$1:$CY$1, LOOKUP(ROW(A68), {1,14,58,67,73,76}, {1,14,58,67,73,76}))</f>
        <v>D : Finish</v>
      </c>
      <c r="B69" s="73" t="str">
        <f>INDEX('Re-Final'!$Z$2:$CY$2, ROW()-ROW($B$2)+1)</f>
        <v>2.Smear, stain</v>
      </c>
      <c r="C69" s="74" t="e">
        <f>IF(ISBLANK(D69),"",D69/'Re-Final'!$W$4)</f>
        <v>#DIV/0!</v>
      </c>
      <c r="D69" s="85">
        <f>INDEX('Re-Final'!$Z$4:$CY$4, ROW()-ROW($D$2)+1)</f>
        <v>0</v>
      </c>
      <c r="E69" s="87" t="e">
        <f>IF(C69="",COUNT($C$2:$C$79) + ROW()-ROW($C$2) + 1 - COUNT($C$2:C69),RANK(C69,$C$2:$C$79,0) + COUNTIF($C$2:C69,C69) - 1)</f>
        <v>#DIV/0!</v>
      </c>
      <c r="F69" s="89" t="e">
        <f t="shared" si="6"/>
        <v>#N/A</v>
      </c>
      <c r="G69" s="106" t="e">
        <f t="shared" si="7"/>
        <v>#N/A</v>
      </c>
      <c r="H69" s="108" t="e">
        <f>IF(ISBLANK(D69),"",D69/Final!$W$4)</f>
        <v>#DIV/0!</v>
      </c>
      <c r="I69" s="91" t="e">
        <f t="shared" si="8"/>
        <v>#N/A</v>
      </c>
    </row>
    <row r="70" spans="1:9">
      <c r="A70" s="73" t="str" cm="1">
        <f t="array" ref="A70">INDEX('Re-Final'!$Z$1:$CY$1, LOOKUP(ROW(A69), {1,14,58,67,73,76}, {1,14,58,67,73,76}))</f>
        <v>D : Finish</v>
      </c>
      <c r="B70" s="73" t="str">
        <f>INDEX('Re-Final'!$Z$2:$CY$2, ROW()-ROW($B$2)+1)</f>
        <v>3.Size</v>
      </c>
      <c r="C70" s="74" t="e">
        <f>IF(ISBLANK(D70),"",D70/'Re-Final'!$W$4)</f>
        <v>#DIV/0!</v>
      </c>
      <c r="D70" s="85">
        <f>INDEX('Re-Final'!$Z$4:$CY$4, ROW()-ROW($D$2)+1)</f>
        <v>0</v>
      </c>
      <c r="E70" s="87" t="e">
        <f>IF(C70="",COUNT($C$2:$C$79) + ROW()-ROW($C$2) + 1 - COUNT($C$2:C70),RANK(C70,$C$2:$C$79,0) + COUNTIF($C$2:C70,C70) - 1)</f>
        <v>#DIV/0!</v>
      </c>
      <c r="F70" s="89" t="e">
        <f t="shared" si="6"/>
        <v>#N/A</v>
      </c>
      <c r="G70" s="106" t="e">
        <f t="shared" si="7"/>
        <v>#N/A</v>
      </c>
      <c r="H70" s="108" t="e">
        <f>IF(ISBLANK(D70),"",D70/Final!$W$4)</f>
        <v>#DIV/0!</v>
      </c>
      <c r="I70" s="91" t="e">
        <f t="shared" si="8"/>
        <v>#N/A</v>
      </c>
    </row>
    <row r="71" spans="1:9">
      <c r="A71" s="73" t="str" cm="1">
        <f t="array" ref="A71">INDEX('Re-Final'!$Z$1:$CY$1, LOOKUP(ROW(A70), {1,14,58,67,73,76}, {1,14,58,67,73,76}))</f>
        <v>D : Finish</v>
      </c>
      <c r="B71" s="73" t="str">
        <f>INDEX('Re-Final'!$Z$2:$CY$2, ROW()-ROW($B$2)+1)</f>
        <v>4.Peel off and misalignment of prints</v>
      </c>
      <c r="C71" s="74" t="e">
        <f>IF(ISBLANK(D71),"",D71/'Re-Final'!$W$4)</f>
        <v>#DIV/0!</v>
      </c>
      <c r="D71" s="85">
        <f>INDEX('Re-Final'!$Z$4:$CY$4, ROW()-ROW($D$2)+1)</f>
        <v>0</v>
      </c>
      <c r="E71" s="87" t="e">
        <f>IF(C71="",COUNT($C$2:$C$79) + ROW()-ROW($C$2) + 1 - COUNT($C$2:C71),RANK(C71,$C$2:$C$79,0) + COUNTIF($C$2:C71,C71) - 1)</f>
        <v>#DIV/0!</v>
      </c>
      <c r="F71" s="89" t="e">
        <f t="shared" si="6"/>
        <v>#N/A</v>
      </c>
      <c r="G71" s="106" t="e">
        <f t="shared" si="7"/>
        <v>#N/A</v>
      </c>
      <c r="H71" s="108" t="e">
        <f>IF(ISBLANK(D71),"",D71/Final!$W$4)</f>
        <v>#DIV/0!</v>
      </c>
      <c r="I71" s="91" t="e">
        <f t="shared" si="8"/>
        <v>#N/A</v>
      </c>
    </row>
    <row r="72" spans="1:9">
      <c r="A72" s="73" t="str" cm="1">
        <f t="array" ref="A72">INDEX('Re-Final'!$Z$1:$CY$1, LOOKUP(ROW(A71), {1,14,58,67,73,76}, {1,14,58,67,73,76}))</f>
        <v>D : Finish</v>
      </c>
      <c r="B72" s="73" t="str">
        <f>INDEX('Re-Final'!$Z$2:$CY$2, ROW()-ROW($B$2)+1)</f>
        <v>5.Pressure mark</v>
      </c>
      <c r="C72" s="74" t="e">
        <f>IF(ISBLANK(D72),"",D72/'Re-Final'!$W$4)</f>
        <v>#DIV/0!</v>
      </c>
      <c r="D72" s="85">
        <f>INDEX('Re-Final'!$Z$4:$CY$4, ROW()-ROW($D$2)+1)</f>
        <v>0</v>
      </c>
      <c r="E72" s="87" t="e">
        <f>IF(C72="",COUNT($C$2:$C$79) + ROW()-ROW($C$2) + 1 - COUNT($C$2:C72),RANK(C72,$C$2:$C$79,0) + COUNTIF($C$2:C72,C72) - 1)</f>
        <v>#DIV/0!</v>
      </c>
      <c r="F72" s="89" t="e">
        <f t="shared" si="6"/>
        <v>#N/A</v>
      </c>
      <c r="G72" s="106" t="e">
        <f t="shared" si="7"/>
        <v>#N/A</v>
      </c>
      <c r="H72" s="108" t="e">
        <f>IF(ISBLANK(D72),"",D72/Final!$W$4)</f>
        <v>#DIV/0!</v>
      </c>
      <c r="I72" s="91" t="e">
        <f t="shared" si="8"/>
        <v>#N/A</v>
      </c>
    </row>
    <row r="73" spans="1:9">
      <c r="A73" s="73" t="str" cm="1">
        <f t="array" ref="A73">INDEX('Re-Final'!$Z$1:$CY$1, LOOKUP(ROW(A72), {1,14,58,67,73,76}, {1,14,58,67,73,76}))</f>
        <v>D : Finish</v>
      </c>
      <c r="B73" s="73" t="str">
        <f>INDEX('Re-Final'!$Z$2:$CY$2, ROW()-ROW($B$2)+1)</f>
        <v>6.Wash finish</v>
      </c>
      <c r="C73" s="74" t="e">
        <f>IF(ISBLANK(D73),"",D73/'Re-Final'!$W$4)</f>
        <v>#DIV/0!</v>
      </c>
      <c r="D73" s="85">
        <f>INDEX('Re-Final'!$Z$4:$CY$4, ROW()-ROW($D$2)+1)</f>
        <v>0</v>
      </c>
      <c r="E73" s="87" t="e">
        <f>IF(C73="",COUNT($C$2:$C$79) + ROW()-ROW($C$2) + 1 - COUNT($C$2:C73),RANK(C73,$C$2:$C$79,0) + COUNTIF($C$2:C73,C73) - 1)</f>
        <v>#DIV/0!</v>
      </c>
      <c r="F73" s="89" t="e">
        <f t="shared" si="6"/>
        <v>#N/A</v>
      </c>
      <c r="G73" s="106" t="e">
        <f t="shared" si="7"/>
        <v>#N/A</v>
      </c>
      <c r="H73" s="108" t="e">
        <f>IF(ISBLANK(D73),"",D73/Final!$W$4)</f>
        <v>#DIV/0!</v>
      </c>
      <c r="I73" s="91" t="e">
        <f t="shared" si="8"/>
        <v>#N/A</v>
      </c>
    </row>
    <row r="74" spans="1:9">
      <c r="A74" s="73" t="str" cm="1">
        <f t="array" ref="A74">INDEX('Re-Final'!$Z$1:$CY$1, LOOKUP(ROW(A73), {1,14,58,67,73,76}, {1,14,58,67,73,76}))</f>
        <v>E : Safety</v>
      </c>
      <c r="B74" s="73" t="str">
        <f>INDEX('Re-Final'!$Z$2:$CY$2, ROW()-ROW($B$2)+1)</f>
        <v>1.Thread</v>
      </c>
      <c r="C74" s="74" t="e">
        <f>IF(ISBLANK(D74),"",D74/'Re-Final'!$W$4)</f>
        <v>#DIV/0!</v>
      </c>
      <c r="D74" s="85">
        <f>INDEX('Re-Final'!$Z$4:$CY$4, ROW()-ROW($D$2)+1)</f>
        <v>0</v>
      </c>
      <c r="E74" s="87" t="e">
        <f>IF(C74="",COUNT($C$2:$C$79) + ROW()-ROW($C$2) + 1 - COUNT($C$2:C74),RANK(C74,$C$2:$C$79,0) + COUNTIF($C$2:C74,C74) - 1)</f>
        <v>#DIV/0!</v>
      </c>
      <c r="F74" s="89" t="e">
        <f t="shared" si="6"/>
        <v>#N/A</v>
      </c>
      <c r="G74" s="106" t="e">
        <f t="shared" si="7"/>
        <v>#N/A</v>
      </c>
      <c r="H74" s="108" t="e">
        <f>IF(ISBLANK(D74),"",D74/Final!$W$4)</f>
        <v>#DIV/0!</v>
      </c>
      <c r="I74" s="91" t="e">
        <f t="shared" si="8"/>
        <v>#N/A</v>
      </c>
    </row>
    <row r="75" spans="1:9">
      <c r="A75" s="73" t="str" cm="1">
        <f t="array" ref="A75">INDEX('Re-Final'!$Z$1:$CY$1, LOOKUP(ROW(A74), {1,14,58,67,73,76}, {1,14,58,67,73,76}))</f>
        <v>E : Safety</v>
      </c>
      <c r="B75" s="73" t="str">
        <f>INDEX('Re-Final'!$Z$2:$CY$2, ROW()-ROW($B$2)+1)</f>
        <v>2.Hazardous object/ foreign bodies</v>
      </c>
      <c r="C75" s="74" t="e">
        <f>IF(ISBLANK(D75),"",D75/'Re-Final'!$W$4)</f>
        <v>#DIV/0!</v>
      </c>
      <c r="D75" s="85">
        <f>INDEX('Re-Final'!$Z$4:$CY$4, ROW()-ROW($D$2)+1)</f>
        <v>0</v>
      </c>
      <c r="E75" s="87" t="e">
        <f>IF(C75="",COUNT($C$2:$C$79) + ROW()-ROW($C$2) + 1 - COUNT($C$2:C75),RANK(C75,$C$2:$C$79,0) + COUNTIF($C$2:C75,C75) - 1)</f>
        <v>#DIV/0!</v>
      </c>
      <c r="F75" s="89" t="e">
        <f t="shared" si="6"/>
        <v>#N/A</v>
      </c>
      <c r="G75" s="106" t="e">
        <f t="shared" si="7"/>
        <v>#N/A</v>
      </c>
      <c r="H75" s="108" t="e">
        <f>IF(ISBLANK(D75),"",D75/Final!$W$4)</f>
        <v>#DIV/0!</v>
      </c>
      <c r="I75" s="91" t="e">
        <f t="shared" si="8"/>
        <v>#N/A</v>
      </c>
    </row>
    <row r="76" spans="1:9">
      <c r="A76" s="73" t="str" cm="1">
        <f t="array" ref="A76">INDEX('Re-Final'!$Z$1:$CY$1, LOOKUP(ROW(A75), {1,14,58,67,73,76}, {1,14,58,67,73,76}))</f>
        <v>E : Safety</v>
      </c>
      <c r="B76" s="73" t="str">
        <f>INDEX('Re-Final'!$Z$2:$CY$2, ROW()-ROW($B$2)+1)</f>
        <v>3.Odor</v>
      </c>
      <c r="C76" s="74" t="e">
        <f>IF(ISBLANK(D76),"",D76/'Re-Final'!$W$4)</f>
        <v>#DIV/0!</v>
      </c>
      <c r="D76" s="85">
        <f>INDEX('Re-Final'!$Z$4:$CY$4, ROW()-ROW($D$2)+1)</f>
        <v>0</v>
      </c>
      <c r="E76" s="87" t="e">
        <f>IF(C76="",COUNT($C$2:$C$79) + ROW()-ROW($C$2) + 1 - COUNT($C$2:C76),RANK(C76,$C$2:$C$79,0) + COUNTIF($C$2:C76,C76) - 1)</f>
        <v>#DIV/0!</v>
      </c>
      <c r="F76" s="89" t="e">
        <f t="shared" si="6"/>
        <v>#N/A</v>
      </c>
      <c r="G76" s="106" t="e">
        <f t="shared" si="7"/>
        <v>#N/A</v>
      </c>
      <c r="H76" s="108" t="e">
        <f>IF(ISBLANK(D76),"",D76/Final!$W$4)</f>
        <v>#DIV/0!</v>
      </c>
      <c r="I76" s="91" t="e">
        <f t="shared" si="8"/>
        <v>#N/A</v>
      </c>
    </row>
    <row r="77" spans="1:9">
      <c r="A77" s="73" t="str" cm="1">
        <f t="array" ref="A77">INDEX('Re-Final'!$Z$1:$CY$1, LOOKUP(ROW(A76), {1,14,58,67,73,76}, {1,14,58,67,73,76}))</f>
        <v>F : Others</v>
      </c>
      <c r="B77" s="73" t="str">
        <f>INDEX('Re-Final'!$Z$2:$CY$2, ROW()-ROW($B$2)+1)</f>
        <v>1.Bad packing</v>
      </c>
      <c r="C77" s="74" t="e">
        <f>IF(ISBLANK(D77),"",D77/'Re-Final'!$W$4)</f>
        <v>#DIV/0!</v>
      </c>
      <c r="D77" s="85">
        <f>INDEX('Re-Final'!$Z$4:$CY$4, ROW()-ROW($D$2)+1)</f>
        <v>0</v>
      </c>
      <c r="E77" s="87" t="e">
        <f>IF(C77="",COUNT($C$2:$C$79) + ROW()-ROW($C$2) + 1 - COUNT($C$2:C77),RANK(C77,$C$2:$C$79,0) + COUNTIF($C$2:C77,C77) - 1)</f>
        <v>#DIV/0!</v>
      </c>
      <c r="F77" s="89" t="e">
        <f t="shared" si="6"/>
        <v>#N/A</v>
      </c>
      <c r="G77" s="106" t="e">
        <f t="shared" si="7"/>
        <v>#N/A</v>
      </c>
      <c r="H77" s="108" t="e">
        <f>IF(ISBLANK(D77),"",D77/Final!$W$4)</f>
        <v>#DIV/0!</v>
      </c>
      <c r="I77" s="91" t="e">
        <f t="shared" si="8"/>
        <v>#N/A</v>
      </c>
    </row>
    <row r="78" spans="1:9">
      <c r="A78" s="73" t="str" cm="1">
        <f t="array" ref="A78">INDEX('Re-Final'!$Z$1:$CY$1, LOOKUP(ROW(A77), {1,14,58,67,73,76}, {1,14,58,67,73,76}))</f>
        <v>F : Others</v>
      </c>
      <c r="B78" s="73" t="str">
        <f>INDEX('Re-Final'!$Z$2:$CY$2, ROW()-ROW($B$2)+1)</f>
        <v>2.Wrong quantity packed</v>
      </c>
      <c r="C78" s="74" t="e">
        <f>IF(ISBLANK(D78),"",D78/'Re-Final'!$W$4)</f>
        <v>#DIV/0!</v>
      </c>
      <c r="D78" s="85">
        <f>INDEX('Re-Final'!$Z$4:$CY$4, ROW()-ROW($D$2)+1)</f>
        <v>0</v>
      </c>
      <c r="E78" s="87" t="e">
        <f>IF(C78="",COUNT($C$2:$C$79) + ROW()-ROW($C$2) + 1 - COUNT($C$2:C78),RANK(C78,$C$2:$C$79,0) + COUNTIF($C$2:C78,C78) - 1)</f>
        <v>#DIV/0!</v>
      </c>
      <c r="F78" s="89" t="e">
        <f t="shared" si="6"/>
        <v>#N/A</v>
      </c>
      <c r="G78" s="106" t="e">
        <f t="shared" si="7"/>
        <v>#N/A</v>
      </c>
      <c r="H78" s="108" t="e">
        <f>IF(ISBLANK(D78),"",D78/Final!$W$4)</f>
        <v>#DIV/0!</v>
      </c>
      <c r="I78" s="91" t="e">
        <f t="shared" si="8"/>
        <v>#N/A</v>
      </c>
    </row>
    <row r="79" spans="1:9" ht="15.75" thickBot="1">
      <c r="A79" s="73" t="str" cm="1">
        <f t="array" ref="A79">INDEX('Re-Final'!$Z$1:$CY$1, LOOKUP(ROW(A78), {1,14,58,67,73,76}, {1,14,58,67,73,76}))</f>
        <v>F : Others</v>
      </c>
      <c r="B79" s="73" t="str">
        <f>INDEX('Re-Final'!$Z$2:$CY$2, ROW()-ROW($B$2)+1)</f>
        <v>3.Others</v>
      </c>
      <c r="C79" s="74" t="e">
        <f>IF(ISBLANK(D79),"",D79/'Re-Final'!$W$4)</f>
        <v>#DIV/0!</v>
      </c>
      <c r="D79" s="85">
        <f>INDEX('Re-Final'!$Z$4:$CY$4, ROW()-ROW($D$2)+1)</f>
        <v>0</v>
      </c>
      <c r="E79" s="87" t="e">
        <f>IF(C79="",COUNT($C$2:$C$79) + ROW()-ROW($C$2) + 1 - COUNT($C$2:C79),RANK(C79,$C$2:$C$79,0) + COUNTIF($C$2:C79,C79) - 1)</f>
        <v>#DIV/0!</v>
      </c>
      <c r="F79" s="89" t="e">
        <f t="shared" si="6"/>
        <v>#N/A</v>
      </c>
      <c r="G79" s="106" t="e">
        <f t="shared" si="7"/>
        <v>#N/A</v>
      </c>
      <c r="H79" s="109" t="e">
        <f>IF(ISBLANK(D79),"",D79/Final!$W$4)</f>
        <v>#DIV/0!</v>
      </c>
      <c r="I79" s="92" t="e">
        <f t="shared" si="8"/>
        <v>#N/A</v>
      </c>
    </row>
  </sheetData>
  <pageMargins left="0.7" right="0.7" top="0.75" bottom="0.75" header="0.3" footer="0.3"/>
  <pageSetup paperSize="9" orientation="portrait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11BF4-61E3-4934-A9D7-C6CA50AA10E4}">
  <sheetPr>
    <tabColor rgb="FF00B050"/>
    <pageSetUpPr fitToPage="1"/>
  </sheetPr>
  <dimension ref="A1:FN96"/>
  <sheetViews>
    <sheetView view="pageBreakPreview" zoomScale="85" zoomScaleNormal="85" zoomScaleSheetLayoutView="85" workbookViewId="0">
      <pane ySplit="10" topLeftCell="A11" activePane="bottomLeft" state="frozen"/>
      <selection pane="bottomLeft" activeCell="L15" sqref="L15"/>
    </sheetView>
  </sheetViews>
  <sheetFormatPr defaultColWidth="9.140625" defaultRowHeight="12"/>
  <cols>
    <col min="1" max="1" width="26" style="7" customWidth="1"/>
    <col min="2" max="2" width="8.5703125" style="7" bestFit="1" customWidth="1"/>
    <col min="3" max="3" width="23.42578125" style="7" bestFit="1" customWidth="1"/>
    <col min="4" max="5" width="11.140625" style="7" bestFit="1" customWidth="1"/>
    <col min="6" max="6" width="7.7109375" style="41" customWidth="1"/>
    <col min="7" max="8" width="11.140625" style="7" bestFit="1" customWidth="1"/>
    <col min="9" max="9" width="9.28515625" style="8" customWidth="1"/>
    <col min="10" max="10" width="3.7109375" style="7" customWidth="1"/>
    <col min="11" max="11" width="20.42578125" style="7" bestFit="1" customWidth="1"/>
    <col min="12" max="12" width="26.42578125" style="7" customWidth="1"/>
    <col min="13" max="13" width="27.7109375" style="7" customWidth="1"/>
    <col min="14" max="14" width="20.140625" style="7" bestFit="1" customWidth="1"/>
    <col min="15" max="17" width="10.7109375" style="7" customWidth="1"/>
    <col min="18" max="18" width="9" style="7" bestFit="1" customWidth="1"/>
    <col min="19" max="19" width="14.5703125" style="7" bestFit="1" customWidth="1"/>
    <col min="20" max="20" width="7.7109375" style="7" bestFit="1" customWidth="1"/>
    <col min="21" max="21" width="9" style="7" customWidth="1"/>
    <col min="22" max="22" width="3.42578125" style="7" bestFit="1" customWidth="1"/>
    <col min="23" max="23" width="4" style="7" bestFit="1" customWidth="1"/>
    <col min="24" max="24" width="8.85546875" style="7" bestFit="1" customWidth="1"/>
    <col min="25" max="25" width="3.28515625" style="7" bestFit="1" customWidth="1"/>
    <col min="26" max="34" width="5.140625" style="44" customWidth="1"/>
    <col min="35" max="35" width="7" style="7" bestFit="1" customWidth="1"/>
    <col min="36" max="36" width="6.5703125" style="7" bestFit="1" customWidth="1"/>
    <col min="37" max="40" width="6" style="7" bestFit="1" customWidth="1"/>
    <col min="41" max="83" width="6" style="7" customWidth="1"/>
    <col min="84" max="84" width="6" style="7" bestFit="1" customWidth="1"/>
    <col min="85" max="90" width="6" style="7" customWidth="1"/>
    <col min="91" max="92" width="6" style="7" bestFit="1" customWidth="1"/>
    <col min="93" max="98" width="6" style="7" customWidth="1"/>
    <col min="99" max="99" width="6" style="7" bestFit="1" customWidth="1"/>
    <col min="100" max="101" width="7" style="7" bestFit="1" customWidth="1"/>
    <col min="102" max="103" width="6" style="7" bestFit="1" customWidth="1"/>
    <col min="104" max="104" width="7" style="7" bestFit="1" customWidth="1"/>
    <col min="105" max="16384" width="9.140625" style="9"/>
  </cols>
  <sheetData>
    <row r="1" spans="1:169" s="1" customFormat="1" ht="28.5" customHeight="1" thickBot="1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3"/>
      <c r="X1" s="121" t="s">
        <v>1</v>
      </c>
      <c r="Y1" s="122"/>
      <c r="Z1" s="148" t="s">
        <v>162</v>
      </c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50"/>
      <c r="AM1" s="148" t="s">
        <v>163</v>
      </c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8" t="s">
        <v>126</v>
      </c>
      <c r="CF1" s="149"/>
      <c r="CG1" s="149"/>
      <c r="CH1" s="149"/>
      <c r="CI1" s="149"/>
      <c r="CJ1" s="149"/>
      <c r="CK1" s="149"/>
      <c r="CL1" s="149"/>
      <c r="CM1" s="150"/>
      <c r="CN1" s="148" t="s">
        <v>136</v>
      </c>
      <c r="CO1" s="149"/>
      <c r="CP1" s="149"/>
      <c r="CQ1" s="149"/>
      <c r="CR1" s="149"/>
      <c r="CS1" s="150"/>
      <c r="CT1" s="148" t="s">
        <v>143</v>
      </c>
      <c r="CU1" s="149"/>
      <c r="CV1" s="150"/>
      <c r="CW1" s="148" t="s">
        <v>164</v>
      </c>
      <c r="CX1" s="149"/>
      <c r="CY1" s="150"/>
    </row>
    <row r="2" spans="1:169" s="1" customFormat="1" ht="140.44999999999999" customHeight="1" thickBot="1">
      <c r="A2" s="119" t="s">
        <v>2</v>
      </c>
      <c r="B2" s="119" t="s">
        <v>3</v>
      </c>
      <c r="C2" s="119" t="s">
        <v>4</v>
      </c>
      <c r="D2" s="119" t="s">
        <v>23</v>
      </c>
      <c r="E2" s="119" t="s">
        <v>24</v>
      </c>
      <c r="F2" s="119" t="s">
        <v>7</v>
      </c>
      <c r="G2" s="119" t="s">
        <v>5</v>
      </c>
      <c r="H2" s="119" t="s">
        <v>6</v>
      </c>
      <c r="I2" s="119" t="s">
        <v>7</v>
      </c>
      <c r="J2" s="119" t="s">
        <v>8</v>
      </c>
      <c r="K2" s="119" t="s">
        <v>26</v>
      </c>
      <c r="L2" s="119" t="s">
        <v>9</v>
      </c>
      <c r="M2" s="119" t="s">
        <v>10</v>
      </c>
      <c r="N2" s="119" t="s">
        <v>11</v>
      </c>
      <c r="O2" s="119" t="s">
        <v>12</v>
      </c>
      <c r="P2" s="146" t="s">
        <v>147</v>
      </c>
      <c r="Q2" s="63" t="s">
        <v>149</v>
      </c>
      <c r="R2" s="119" t="s">
        <v>148</v>
      </c>
      <c r="S2" s="119" t="s">
        <v>13</v>
      </c>
      <c r="T2" s="119" t="s">
        <v>25</v>
      </c>
      <c r="U2" s="119" t="s">
        <v>14</v>
      </c>
      <c r="V2" s="127" t="s">
        <v>15</v>
      </c>
      <c r="W2" s="129" t="s">
        <v>68</v>
      </c>
      <c r="X2" s="123" t="s">
        <v>17</v>
      </c>
      <c r="Y2" s="125" t="s">
        <v>18</v>
      </c>
      <c r="Z2" s="93" t="s">
        <v>69</v>
      </c>
      <c r="AA2" s="94" t="s">
        <v>70</v>
      </c>
      <c r="AB2" s="94" t="s">
        <v>71</v>
      </c>
      <c r="AC2" s="94" t="s">
        <v>72</v>
      </c>
      <c r="AD2" s="94" t="s">
        <v>73</v>
      </c>
      <c r="AE2" s="95" t="s">
        <v>74</v>
      </c>
      <c r="AF2" s="95" t="s">
        <v>75</v>
      </c>
      <c r="AG2" s="95" t="s">
        <v>76</v>
      </c>
      <c r="AH2" s="95" t="s">
        <v>77</v>
      </c>
      <c r="AI2" s="95" t="s">
        <v>78</v>
      </c>
      <c r="AJ2" s="95" t="s">
        <v>79</v>
      </c>
      <c r="AK2" s="95" t="s">
        <v>80</v>
      </c>
      <c r="AL2" s="96" t="s">
        <v>81</v>
      </c>
      <c r="AM2" s="93" t="s">
        <v>82</v>
      </c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4" t="s">
        <v>91</v>
      </c>
      <c r="AW2" s="94" t="s">
        <v>92</v>
      </c>
      <c r="AX2" s="94" t="s">
        <v>93</v>
      </c>
      <c r="AY2" s="94" t="s">
        <v>94</v>
      </c>
      <c r="AZ2" s="94" t="s">
        <v>95</v>
      </c>
      <c r="BA2" s="94" t="s">
        <v>96</v>
      </c>
      <c r="BB2" s="94" t="s">
        <v>97</v>
      </c>
      <c r="BC2" s="94" t="s">
        <v>98</v>
      </c>
      <c r="BD2" s="94" t="s">
        <v>99</v>
      </c>
      <c r="BE2" s="94" t="s">
        <v>100</v>
      </c>
      <c r="BF2" s="94" t="s">
        <v>101</v>
      </c>
      <c r="BG2" s="94" t="s">
        <v>102</v>
      </c>
      <c r="BH2" s="94" t="s">
        <v>103</v>
      </c>
      <c r="BI2" s="94" t="s">
        <v>104</v>
      </c>
      <c r="BJ2" s="94" t="s">
        <v>105</v>
      </c>
      <c r="BK2" s="94" t="s">
        <v>106</v>
      </c>
      <c r="BL2" s="94" t="s">
        <v>107</v>
      </c>
      <c r="BM2" s="94" t="s">
        <v>108</v>
      </c>
      <c r="BN2" s="94" t="s">
        <v>109</v>
      </c>
      <c r="BO2" s="94" t="s">
        <v>110</v>
      </c>
      <c r="BP2" s="94" t="s">
        <v>111</v>
      </c>
      <c r="BQ2" s="94" t="s">
        <v>112</v>
      </c>
      <c r="BR2" s="94" t="s">
        <v>113</v>
      </c>
      <c r="BS2" s="94" t="s">
        <v>114</v>
      </c>
      <c r="BT2" s="94" t="s">
        <v>115</v>
      </c>
      <c r="BU2" s="94" t="s">
        <v>116</v>
      </c>
      <c r="BV2" s="94" t="s">
        <v>117</v>
      </c>
      <c r="BW2" s="94" t="s">
        <v>118</v>
      </c>
      <c r="BX2" s="94" t="s">
        <v>119</v>
      </c>
      <c r="BY2" s="94" t="s">
        <v>120</v>
      </c>
      <c r="BZ2" s="94" t="s">
        <v>121</v>
      </c>
      <c r="CA2" s="94" t="s">
        <v>122</v>
      </c>
      <c r="CB2" s="94" t="s">
        <v>123</v>
      </c>
      <c r="CC2" s="94" t="s">
        <v>124</v>
      </c>
      <c r="CD2" s="94" t="s">
        <v>125</v>
      </c>
      <c r="CE2" s="93" t="s">
        <v>127</v>
      </c>
      <c r="CF2" s="94" t="s">
        <v>128</v>
      </c>
      <c r="CG2" s="94" t="s">
        <v>129</v>
      </c>
      <c r="CH2" s="94" t="s">
        <v>130</v>
      </c>
      <c r="CI2" s="94" t="s">
        <v>131</v>
      </c>
      <c r="CJ2" s="94" t="s">
        <v>132</v>
      </c>
      <c r="CK2" s="94" t="s">
        <v>133</v>
      </c>
      <c r="CL2" s="94" t="s">
        <v>134</v>
      </c>
      <c r="CM2" s="96" t="s">
        <v>135</v>
      </c>
      <c r="CN2" s="97" t="s">
        <v>137</v>
      </c>
      <c r="CO2" s="98" t="s">
        <v>138</v>
      </c>
      <c r="CP2" s="99" t="s">
        <v>139</v>
      </c>
      <c r="CQ2" s="99" t="s">
        <v>140</v>
      </c>
      <c r="CR2" s="99" t="s">
        <v>141</v>
      </c>
      <c r="CS2" s="100" t="s">
        <v>142</v>
      </c>
      <c r="CT2" s="101" t="s">
        <v>144</v>
      </c>
      <c r="CU2" s="102" t="s">
        <v>145</v>
      </c>
      <c r="CV2" s="103" t="s">
        <v>146</v>
      </c>
      <c r="CW2" s="104" t="s">
        <v>27</v>
      </c>
      <c r="CX2" s="102" t="s">
        <v>28</v>
      </c>
      <c r="CY2" s="103" t="s">
        <v>29</v>
      </c>
    </row>
    <row r="3" spans="1:169" s="1" customFormat="1" ht="21" hidden="1" customHeight="1" thickBo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47"/>
      <c r="Q3" s="62"/>
      <c r="R3" s="120"/>
      <c r="S3" s="120"/>
      <c r="T3" s="120"/>
      <c r="U3" s="120"/>
      <c r="V3" s="128"/>
      <c r="W3" s="130"/>
      <c r="X3" s="124"/>
      <c r="Y3" s="126"/>
      <c r="Z3" s="47" t="e">
        <f>Z4/$W$4</f>
        <v>#DIV/0!</v>
      </c>
      <c r="AA3" s="47" t="e">
        <f>AA4/$W$4</f>
        <v>#DIV/0!</v>
      </c>
      <c r="AB3" s="47" t="e">
        <f t="shared" ref="AB3:AG3" si="0">AB4/$W$4</f>
        <v>#DIV/0!</v>
      </c>
      <c r="AC3" s="47" t="e">
        <f t="shared" si="0"/>
        <v>#DIV/0!</v>
      </c>
      <c r="AD3" s="47" t="e">
        <f t="shared" si="0"/>
        <v>#DIV/0!</v>
      </c>
      <c r="AE3" s="47" t="e">
        <f t="shared" si="0"/>
        <v>#DIV/0!</v>
      </c>
      <c r="AF3" s="47" t="e">
        <f t="shared" si="0"/>
        <v>#DIV/0!</v>
      </c>
      <c r="AG3" s="47" t="e">
        <f t="shared" si="0"/>
        <v>#DIV/0!</v>
      </c>
      <c r="AH3" s="47" t="e">
        <f t="shared" ref="AH3" si="1">AH4/$W$4</f>
        <v>#DIV/0!</v>
      </c>
      <c r="AI3" s="47" t="e">
        <f t="shared" ref="AI3" si="2">AI4/$W$4</f>
        <v>#DIV/0!</v>
      </c>
      <c r="AJ3" s="47" t="e">
        <f t="shared" ref="AJ3" si="3">AJ4/$W$4</f>
        <v>#DIV/0!</v>
      </c>
      <c r="AK3" s="47" t="e">
        <f t="shared" ref="AK3" si="4">AK4/$W$4</f>
        <v>#DIV/0!</v>
      </c>
      <c r="AL3" s="47" t="e">
        <f t="shared" ref="AL3" si="5">AL4/$W$4</f>
        <v>#DIV/0!</v>
      </c>
      <c r="AM3" s="47" t="e">
        <f t="shared" ref="AM3" si="6">AM4/$W$4</f>
        <v>#DIV/0!</v>
      </c>
      <c r="AN3" s="47" t="e">
        <f t="shared" ref="AN3" si="7">AN4/$W$4</f>
        <v>#DIV/0!</v>
      </c>
      <c r="AO3" s="47" t="e">
        <f t="shared" ref="AO3" si="8">AO4/$W$4</f>
        <v>#DIV/0!</v>
      </c>
      <c r="AP3" s="47" t="e">
        <f t="shared" ref="AP3" si="9">AP4/$W$4</f>
        <v>#DIV/0!</v>
      </c>
      <c r="AQ3" s="47" t="e">
        <f t="shared" ref="AQ3" si="10">AQ4/$W$4</f>
        <v>#DIV/0!</v>
      </c>
      <c r="AR3" s="47" t="e">
        <f t="shared" ref="AR3" si="11">AR4/$W$4</f>
        <v>#DIV/0!</v>
      </c>
      <c r="AS3" s="47" t="e">
        <f t="shared" ref="AS3" si="12">AS4/$W$4</f>
        <v>#DIV/0!</v>
      </c>
      <c r="AT3" s="47" t="e">
        <f t="shared" ref="AT3" si="13">AT4/$W$4</f>
        <v>#DIV/0!</v>
      </c>
      <c r="AU3" s="47" t="e">
        <f t="shared" ref="AU3" si="14">AU4/$W$4</f>
        <v>#DIV/0!</v>
      </c>
      <c r="AV3" s="47" t="e">
        <f t="shared" ref="AV3" si="15">AV4/$W$4</f>
        <v>#DIV/0!</v>
      </c>
      <c r="AW3" s="47" t="e">
        <f t="shared" ref="AW3" si="16">AW4/$W$4</f>
        <v>#DIV/0!</v>
      </c>
      <c r="AX3" s="47" t="e">
        <f t="shared" ref="AX3" si="17">AX4/$W$4</f>
        <v>#DIV/0!</v>
      </c>
      <c r="AY3" s="47" t="e">
        <f t="shared" ref="AY3" si="18">AY4/$W$4</f>
        <v>#DIV/0!</v>
      </c>
      <c r="AZ3" s="47" t="e">
        <f t="shared" ref="AZ3" si="19">AZ4/$W$4</f>
        <v>#DIV/0!</v>
      </c>
      <c r="BA3" s="47" t="e">
        <f t="shared" ref="BA3" si="20">BA4/$W$4</f>
        <v>#DIV/0!</v>
      </c>
      <c r="BB3" s="47" t="e">
        <f t="shared" ref="BB3" si="21">BB4/$W$4</f>
        <v>#DIV/0!</v>
      </c>
      <c r="BC3" s="47" t="e">
        <f t="shared" ref="BC3" si="22">BC4/$W$4</f>
        <v>#DIV/0!</v>
      </c>
      <c r="BD3" s="47" t="e">
        <f t="shared" ref="BD3" si="23">BD4/$W$4</f>
        <v>#DIV/0!</v>
      </c>
      <c r="BE3" s="47" t="e">
        <f t="shared" ref="BE3" si="24">BE4/$W$4</f>
        <v>#DIV/0!</v>
      </c>
      <c r="BF3" s="47" t="e">
        <f t="shared" ref="BF3" si="25">BF4/$W$4</f>
        <v>#DIV/0!</v>
      </c>
      <c r="BG3" s="47" t="e">
        <f t="shared" ref="BG3" si="26">BG4/$W$4</f>
        <v>#DIV/0!</v>
      </c>
      <c r="BH3" s="47" t="e">
        <f t="shared" ref="BH3" si="27">BH4/$W$4</f>
        <v>#DIV/0!</v>
      </c>
      <c r="BI3" s="47" t="e">
        <f t="shared" ref="BI3" si="28">BI4/$W$4</f>
        <v>#DIV/0!</v>
      </c>
      <c r="BJ3" s="47" t="e">
        <f t="shared" ref="BJ3" si="29">BJ4/$W$4</f>
        <v>#DIV/0!</v>
      </c>
      <c r="BK3" s="47" t="e">
        <f t="shared" ref="BK3" si="30">BK4/$W$4</f>
        <v>#DIV/0!</v>
      </c>
      <c r="BL3" s="47" t="e">
        <f t="shared" ref="BL3" si="31">BL4/$W$4</f>
        <v>#DIV/0!</v>
      </c>
      <c r="BM3" s="47" t="e">
        <f t="shared" ref="BM3" si="32">BM4/$W$4</f>
        <v>#DIV/0!</v>
      </c>
      <c r="BN3" s="47" t="e">
        <f t="shared" ref="BN3" si="33">BN4/$W$4</f>
        <v>#DIV/0!</v>
      </c>
      <c r="BO3" s="47" t="e">
        <f t="shared" ref="BO3" si="34">BO4/$W$4</f>
        <v>#DIV/0!</v>
      </c>
      <c r="BP3" s="47" t="e">
        <f t="shared" ref="BP3" si="35">BP4/$W$4</f>
        <v>#DIV/0!</v>
      </c>
      <c r="BQ3" s="47" t="e">
        <f t="shared" ref="BQ3" si="36">BQ4/$W$4</f>
        <v>#DIV/0!</v>
      </c>
      <c r="BR3" s="47" t="e">
        <f t="shared" ref="BR3" si="37">BR4/$W$4</f>
        <v>#DIV/0!</v>
      </c>
      <c r="BS3" s="47" t="e">
        <f t="shared" ref="BS3" si="38">BS4/$W$4</f>
        <v>#DIV/0!</v>
      </c>
      <c r="BT3" s="47" t="e">
        <f t="shared" ref="BT3" si="39">BT4/$W$4</f>
        <v>#DIV/0!</v>
      </c>
      <c r="BU3" s="47" t="e">
        <f t="shared" ref="BU3" si="40">BU4/$W$4</f>
        <v>#DIV/0!</v>
      </c>
      <c r="BV3" s="47" t="e">
        <f t="shared" ref="BV3" si="41">BV4/$W$4</f>
        <v>#DIV/0!</v>
      </c>
      <c r="BW3" s="47" t="e">
        <f t="shared" ref="BW3" si="42">BW4/$W$4</f>
        <v>#DIV/0!</v>
      </c>
      <c r="BX3" s="47" t="e">
        <f t="shared" ref="BX3" si="43">BX4/$W$4</f>
        <v>#DIV/0!</v>
      </c>
      <c r="BY3" s="47" t="e">
        <f t="shared" ref="BY3" si="44">BY4/$W$4</f>
        <v>#DIV/0!</v>
      </c>
      <c r="BZ3" s="47" t="e">
        <f t="shared" ref="BZ3" si="45">BZ4/$W$4</f>
        <v>#DIV/0!</v>
      </c>
      <c r="CA3" s="47" t="e">
        <f t="shared" ref="CA3" si="46">CA4/$W$4</f>
        <v>#DIV/0!</v>
      </c>
      <c r="CB3" s="47" t="e">
        <f t="shared" ref="CB3" si="47">CB4/$W$4</f>
        <v>#DIV/0!</v>
      </c>
      <c r="CC3" s="47" t="e">
        <f t="shared" ref="CC3" si="48">CC4/$W$4</f>
        <v>#DIV/0!</v>
      </c>
      <c r="CD3" s="47" t="e">
        <f t="shared" ref="CD3" si="49">CD4/$W$4</f>
        <v>#DIV/0!</v>
      </c>
      <c r="CE3" s="47" t="e">
        <f t="shared" ref="CE3" si="50">CE4/$W$4</f>
        <v>#DIV/0!</v>
      </c>
      <c r="CF3" s="47" t="e">
        <f t="shared" ref="CF3" si="51">CF4/$W$4</f>
        <v>#DIV/0!</v>
      </c>
      <c r="CG3" s="47" t="e">
        <f t="shared" ref="CG3" si="52">CG4/$W$4</f>
        <v>#DIV/0!</v>
      </c>
      <c r="CH3" s="47" t="e">
        <f t="shared" ref="CH3" si="53">CH4/$W$4</f>
        <v>#DIV/0!</v>
      </c>
      <c r="CI3" s="47" t="e">
        <f t="shared" ref="CI3" si="54">CI4/$W$4</f>
        <v>#DIV/0!</v>
      </c>
      <c r="CJ3" s="47" t="e">
        <f t="shared" ref="CJ3" si="55">CJ4/$W$4</f>
        <v>#DIV/0!</v>
      </c>
      <c r="CK3" s="47" t="e">
        <f t="shared" ref="CK3" si="56">CK4/$W$4</f>
        <v>#DIV/0!</v>
      </c>
      <c r="CL3" s="47" t="e">
        <f t="shared" ref="CL3" si="57">CL4/$W$4</f>
        <v>#DIV/0!</v>
      </c>
      <c r="CM3" s="47" t="e">
        <f t="shared" ref="CM3" si="58">CM4/$W$4</f>
        <v>#DIV/0!</v>
      </c>
      <c r="CN3" s="47" t="e">
        <f t="shared" ref="CN3" si="59">CN4/$W$4</f>
        <v>#DIV/0!</v>
      </c>
      <c r="CO3" s="47" t="e">
        <f t="shared" ref="CO3" si="60">CO4/$W$4</f>
        <v>#DIV/0!</v>
      </c>
      <c r="CP3" s="47" t="e">
        <f t="shared" ref="CP3" si="61">CP4/$W$4</f>
        <v>#DIV/0!</v>
      </c>
      <c r="CQ3" s="47" t="e">
        <f t="shared" ref="CQ3" si="62">CQ4/$W$4</f>
        <v>#DIV/0!</v>
      </c>
      <c r="CR3" s="47" t="e">
        <f t="shared" ref="CR3" si="63">CR4/$W$4</f>
        <v>#DIV/0!</v>
      </c>
      <c r="CS3" s="47" t="e">
        <f t="shared" ref="CS3" si="64">CS4/$W$4</f>
        <v>#DIV/0!</v>
      </c>
      <c r="CT3" s="47" t="e">
        <f t="shared" ref="CT3" si="65">CT4/$W$4</f>
        <v>#DIV/0!</v>
      </c>
      <c r="CU3" s="47" t="e">
        <f t="shared" ref="CU3" si="66">CU4/$W$4</f>
        <v>#DIV/0!</v>
      </c>
      <c r="CV3" s="47" t="e">
        <f t="shared" ref="CV3" si="67">CV4/$W$4</f>
        <v>#DIV/0!</v>
      </c>
      <c r="CW3" s="47" t="e">
        <f t="shared" ref="CW3" si="68">CW4/$W$4</f>
        <v>#DIV/0!</v>
      </c>
      <c r="CX3" s="47" t="e">
        <f t="shared" ref="CX3" si="69">CX4/$W$4</f>
        <v>#DIV/0!</v>
      </c>
      <c r="CY3" s="47" t="e">
        <f t="shared" ref="CY3" si="70">CY4/$W$4</f>
        <v>#DIV/0!</v>
      </c>
    </row>
    <row r="4" spans="1:169" s="1" customFormat="1" ht="15.75" customHeight="1" thickBot="1">
      <c r="A4" s="158" t="s">
        <v>19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60"/>
      <c r="T4" s="42">
        <f>SUM(T12:T1000)</f>
        <v>0</v>
      </c>
      <c r="U4" s="11">
        <f>SUM(U12:U1000)</f>
        <v>0</v>
      </c>
      <c r="V4" s="11"/>
      <c r="W4" s="13">
        <f>SUM(W12:W1000)</f>
        <v>0</v>
      </c>
      <c r="X4" s="12" t="e">
        <f>W4/U4</f>
        <v>#DIV/0!</v>
      </c>
      <c r="Y4" s="12"/>
      <c r="Z4" s="11">
        <f>SUM(Z12:Z1000)</f>
        <v>0</v>
      </c>
      <c r="AA4" s="11">
        <f>SUM(AA12:AA1000)</f>
        <v>0</v>
      </c>
      <c r="AB4" s="11">
        <f t="shared" ref="AB4:CM4" si="71">SUM(AB12:AB1000)</f>
        <v>0</v>
      </c>
      <c r="AC4" s="11">
        <f t="shared" si="71"/>
        <v>0</v>
      </c>
      <c r="AD4" s="11">
        <f t="shared" si="71"/>
        <v>0</v>
      </c>
      <c r="AE4" s="11">
        <f t="shared" si="71"/>
        <v>0</v>
      </c>
      <c r="AF4" s="11">
        <f t="shared" si="71"/>
        <v>0</v>
      </c>
      <c r="AG4" s="11">
        <f t="shared" si="71"/>
        <v>0</v>
      </c>
      <c r="AH4" s="11">
        <f t="shared" si="71"/>
        <v>0</v>
      </c>
      <c r="AI4" s="11">
        <f t="shared" si="71"/>
        <v>0</v>
      </c>
      <c r="AJ4" s="11">
        <f t="shared" si="71"/>
        <v>0</v>
      </c>
      <c r="AK4" s="11">
        <f t="shared" si="71"/>
        <v>0</v>
      </c>
      <c r="AL4" s="11">
        <f t="shared" si="71"/>
        <v>0</v>
      </c>
      <c r="AM4" s="11">
        <f t="shared" si="71"/>
        <v>0</v>
      </c>
      <c r="AN4" s="11">
        <f t="shared" si="71"/>
        <v>0</v>
      </c>
      <c r="AO4" s="11">
        <f t="shared" si="71"/>
        <v>0</v>
      </c>
      <c r="AP4" s="11">
        <f t="shared" si="71"/>
        <v>0</v>
      </c>
      <c r="AQ4" s="11">
        <f t="shared" si="71"/>
        <v>0</v>
      </c>
      <c r="AR4" s="11">
        <f t="shared" si="71"/>
        <v>0</v>
      </c>
      <c r="AS4" s="11">
        <f t="shared" si="71"/>
        <v>0</v>
      </c>
      <c r="AT4" s="11">
        <f t="shared" si="71"/>
        <v>0</v>
      </c>
      <c r="AU4" s="11">
        <f t="shared" si="71"/>
        <v>0</v>
      </c>
      <c r="AV4" s="11">
        <f t="shared" si="71"/>
        <v>0</v>
      </c>
      <c r="AW4" s="11">
        <f t="shared" si="71"/>
        <v>0</v>
      </c>
      <c r="AX4" s="11">
        <f t="shared" si="71"/>
        <v>0</v>
      </c>
      <c r="AY4" s="11">
        <f t="shared" si="71"/>
        <v>0</v>
      </c>
      <c r="AZ4" s="11">
        <f t="shared" si="71"/>
        <v>0</v>
      </c>
      <c r="BA4" s="11">
        <f t="shared" si="71"/>
        <v>0</v>
      </c>
      <c r="BB4" s="11">
        <f t="shared" si="71"/>
        <v>0</v>
      </c>
      <c r="BC4" s="11">
        <f t="shared" si="71"/>
        <v>0</v>
      </c>
      <c r="BD4" s="11">
        <f t="shared" si="71"/>
        <v>0</v>
      </c>
      <c r="BE4" s="11">
        <f t="shared" si="71"/>
        <v>0</v>
      </c>
      <c r="BF4" s="11">
        <f t="shared" si="71"/>
        <v>0</v>
      </c>
      <c r="BG4" s="11">
        <f t="shared" si="71"/>
        <v>0</v>
      </c>
      <c r="BH4" s="11">
        <f t="shared" si="71"/>
        <v>0</v>
      </c>
      <c r="BI4" s="11">
        <f t="shared" si="71"/>
        <v>0</v>
      </c>
      <c r="BJ4" s="11">
        <f t="shared" si="71"/>
        <v>0</v>
      </c>
      <c r="BK4" s="11">
        <f t="shared" si="71"/>
        <v>0</v>
      </c>
      <c r="BL4" s="11">
        <f t="shared" si="71"/>
        <v>0</v>
      </c>
      <c r="BM4" s="11">
        <f t="shared" si="71"/>
        <v>0</v>
      </c>
      <c r="BN4" s="11">
        <f t="shared" si="71"/>
        <v>0</v>
      </c>
      <c r="BO4" s="11">
        <f t="shared" si="71"/>
        <v>0</v>
      </c>
      <c r="BP4" s="11">
        <f t="shared" si="71"/>
        <v>0</v>
      </c>
      <c r="BQ4" s="11">
        <f t="shared" si="71"/>
        <v>0</v>
      </c>
      <c r="BR4" s="11">
        <f t="shared" si="71"/>
        <v>0</v>
      </c>
      <c r="BS4" s="11">
        <f t="shared" si="71"/>
        <v>0</v>
      </c>
      <c r="BT4" s="11">
        <f t="shared" si="71"/>
        <v>0</v>
      </c>
      <c r="BU4" s="11">
        <f t="shared" si="71"/>
        <v>0</v>
      </c>
      <c r="BV4" s="11">
        <f t="shared" si="71"/>
        <v>0</v>
      </c>
      <c r="BW4" s="11">
        <f t="shared" si="71"/>
        <v>0</v>
      </c>
      <c r="BX4" s="11">
        <f t="shared" si="71"/>
        <v>0</v>
      </c>
      <c r="BY4" s="11">
        <f t="shared" si="71"/>
        <v>0</v>
      </c>
      <c r="BZ4" s="11">
        <f t="shared" si="71"/>
        <v>0</v>
      </c>
      <c r="CA4" s="11">
        <f t="shared" si="71"/>
        <v>0</v>
      </c>
      <c r="CB4" s="11">
        <f t="shared" si="71"/>
        <v>0</v>
      </c>
      <c r="CC4" s="11">
        <f t="shared" si="71"/>
        <v>0</v>
      </c>
      <c r="CD4" s="11">
        <f t="shared" si="71"/>
        <v>0</v>
      </c>
      <c r="CE4" s="11">
        <f t="shared" si="71"/>
        <v>0</v>
      </c>
      <c r="CF4" s="11">
        <f t="shared" si="71"/>
        <v>0</v>
      </c>
      <c r="CG4" s="11">
        <f t="shared" si="71"/>
        <v>0</v>
      </c>
      <c r="CH4" s="11">
        <f t="shared" si="71"/>
        <v>0</v>
      </c>
      <c r="CI4" s="11">
        <f t="shared" si="71"/>
        <v>0</v>
      </c>
      <c r="CJ4" s="11">
        <f t="shared" si="71"/>
        <v>0</v>
      </c>
      <c r="CK4" s="11">
        <f t="shared" si="71"/>
        <v>0</v>
      </c>
      <c r="CL4" s="11">
        <f t="shared" si="71"/>
        <v>0</v>
      </c>
      <c r="CM4" s="11">
        <f t="shared" si="71"/>
        <v>0</v>
      </c>
      <c r="CN4" s="11">
        <f t="shared" ref="CN4:CY4" si="72">SUM(CN12:CN1000)</f>
        <v>0</v>
      </c>
      <c r="CO4" s="11">
        <f t="shared" si="72"/>
        <v>0</v>
      </c>
      <c r="CP4" s="11">
        <f t="shared" si="72"/>
        <v>0</v>
      </c>
      <c r="CQ4" s="11">
        <f t="shared" si="72"/>
        <v>0</v>
      </c>
      <c r="CR4" s="11">
        <f t="shared" si="72"/>
        <v>0</v>
      </c>
      <c r="CS4" s="11">
        <f t="shared" si="72"/>
        <v>0</v>
      </c>
      <c r="CT4" s="11">
        <f t="shared" si="72"/>
        <v>0</v>
      </c>
      <c r="CU4" s="11">
        <f t="shared" si="72"/>
        <v>0</v>
      </c>
      <c r="CV4" s="11">
        <f t="shared" si="72"/>
        <v>0</v>
      </c>
      <c r="CW4" s="11">
        <f t="shared" si="72"/>
        <v>0</v>
      </c>
      <c r="CX4" s="11">
        <f t="shared" si="72"/>
        <v>0</v>
      </c>
      <c r="CY4" s="11">
        <f t="shared" si="72"/>
        <v>0</v>
      </c>
    </row>
    <row r="5" spans="1:169" ht="44.25" customHeight="1">
      <c r="J5" s="142" t="s">
        <v>20</v>
      </c>
      <c r="K5" s="143"/>
      <c r="L5" s="20" t="s">
        <v>30</v>
      </c>
      <c r="M5" s="20" t="s">
        <v>21</v>
      </c>
      <c r="N5" s="20" t="s">
        <v>22</v>
      </c>
      <c r="O5" s="21" t="s">
        <v>17</v>
      </c>
      <c r="V5" s="44"/>
      <c r="W5" s="44"/>
      <c r="X5" s="46"/>
      <c r="Y5" s="46"/>
      <c r="Z5" s="46"/>
      <c r="AA5" s="46"/>
      <c r="AB5" s="46"/>
      <c r="AC5" s="46"/>
      <c r="AD5" s="46"/>
      <c r="AE5" s="46"/>
      <c r="AF5" s="46"/>
      <c r="AG5" s="46"/>
      <c r="AH5" s="46"/>
      <c r="AI5" s="46"/>
      <c r="AJ5" s="46"/>
      <c r="CX5" s="9"/>
      <c r="CY5" s="9"/>
      <c r="CZ5" s="9"/>
    </row>
    <row r="6" spans="1:169" ht="45.6" customHeight="1">
      <c r="J6" s="144">
        <v>1</v>
      </c>
      <c r="K6" s="145"/>
      <c r="L6" s="22" t="e">
        <f>'Helper-1'!O2</f>
        <v>#N/A</v>
      </c>
      <c r="M6" s="22" t="e">
        <f>'Helper-1'!P2</f>
        <v>#N/A</v>
      </c>
      <c r="N6" s="23" t="e">
        <f>'Helper-1'!Q2</f>
        <v>#N/A</v>
      </c>
      <c r="O6" s="24" t="e">
        <f>'Helper-1'!R2</f>
        <v>#DIV/0!</v>
      </c>
      <c r="V6" s="44"/>
      <c r="W6" s="44"/>
      <c r="X6" s="46"/>
      <c r="Y6" s="46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CX6" s="9"/>
      <c r="CY6" s="9"/>
      <c r="CZ6" s="9"/>
    </row>
    <row r="7" spans="1:169" ht="45.6" customHeight="1">
      <c r="J7" s="134">
        <v>2</v>
      </c>
      <c r="K7" s="135"/>
      <c r="L7" s="25" t="e">
        <f>'Helper-1'!O3</f>
        <v>#N/A</v>
      </c>
      <c r="M7" s="25" t="e">
        <f>'Helper-1'!P3</f>
        <v>#N/A</v>
      </c>
      <c r="N7" s="26" t="e">
        <f>'Helper-1'!Q3</f>
        <v>#N/A</v>
      </c>
      <c r="O7" s="27" t="e">
        <f>'Helper-1'!R3</f>
        <v>#DIV/0!</v>
      </c>
      <c r="V7" s="44"/>
      <c r="W7" s="44"/>
      <c r="X7" s="46"/>
      <c r="Y7" s="46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CX7" s="9"/>
      <c r="CY7" s="9"/>
      <c r="CZ7" s="9"/>
    </row>
    <row r="8" spans="1:169" ht="45.6" customHeight="1">
      <c r="J8" s="136">
        <v>3</v>
      </c>
      <c r="K8" s="137"/>
      <c r="L8" s="28" t="e">
        <f>'Helper-1'!O4</f>
        <v>#N/A</v>
      </c>
      <c r="M8" s="28" t="e">
        <f>'Helper-1'!P4</f>
        <v>#N/A</v>
      </c>
      <c r="N8" s="29" t="e">
        <f>'Helper-1'!Q4</f>
        <v>#N/A</v>
      </c>
      <c r="O8" s="30" t="e">
        <f>'Helper-1'!R4</f>
        <v>#DIV/0!</v>
      </c>
      <c r="V8" s="44"/>
      <c r="W8" s="44"/>
      <c r="X8" s="46"/>
      <c r="Y8" s="46"/>
      <c r="Z8" s="46"/>
      <c r="AA8" s="46"/>
      <c r="AB8" s="46"/>
      <c r="AC8" s="46"/>
      <c r="AD8" s="46"/>
      <c r="AE8" s="46"/>
      <c r="AF8" s="46"/>
      <c r="AG8" s="46"/>
      <c r="AH8" s="46"/>
      <c r="AI8" s="46"/>
      <c r="AJ8" s="46"/>
      <c r="CX8" s="9"/>
      <c r="CY8" s="9"/>
      <c r="CZ8" s="9"/>
    </row>
    <row r="9" spans="1:169" ht="45.6" customHeight="1">
      <c r="J9" s="138">
        <v>4</v>
      </c>
      <c r="K9" s="139"/>
      <c r="L9" s="31" t="e">
        <f>'Helper-1'!O5</f>
        <v>#N/A</v>
      </c>
      <c r="M9" s="31" t="e">
        <f>'Helper-1'!P5</f>
        <v>#N/A</v>
      </c>
      <c r="N9" s="32" t="e">
        <f>'Helper-1'!Q5</f>
        <v>#N/A</v>
      </c>
      <c r="O9" s="33" t="e">
        <f>'Helper-1'!R5</f>
        <v>#DIV/0!</v>
      </c>
      <c r="V9" s="44"/>
      <c r="W9" s="44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6"/>
      <c r="AI9" s="46"/>
      <c r="AJ9" s="46"/>
      <c r="CX9" s="9"/>
      <c r="CY9" s="9"/>
      <c r="CZ9" s="9"/>
    </row>
    <row r="10" spans="1:169" ht="45.6" customHeight="1" thickBot="1">
      <c r="J10" s="140">
        <v>5</v>
      </c>
      <c r="K10" s="141"/>
      <c r="L10" s="34" t="e">
        <f>'Helper-1'!O6</f>
        <v>#N/A</v>
      </c>
      <c r="M10" s="34" t="e">
        <f>'Helper-1'!P6</f>
        <v>#N/A</v>
      </c>
      <c r="N10" s="35" t="e">
        <f>'Helper-1'!Q6</f>
        <v>#N/A</v>
      </c>
      <c r="O10" s="36" t="e">
        <f>'Helper-1'!R6</f>
        <v>#DIV/0!</v>
      </c>
      <c r="V10" s="44"/>
      <c r="W10" s="44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AH10" s="46"/>
      <c r="AI10" s="46"/>
      <c r="AJ10" s="46"/>
      <c r="CX10" s="9"/>
      <c r="CY10" s="9"/>
      <c r="CZ10" s="9"/>
    </row>
    <row r="11" spans="1:169" s="1" customFormat="1" ht="12.75" thickBot="1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50"/>
      <c r="T11" s="42"/>
      <c r="U11" s="11"/>
      <c r="V11" s="11"/>
      <c r="W11" s="13"/>
      <c r="X11" s="12"/>
      <c r="Y11" s="12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</row>
    <row r="12" spans="1:169" s="6" customFormat="1" ht="20.25" customHeight="1">
      <c r="A12" s="10"/>
      <c r="B12" s="10"/>
      <c r="C12" s="51" t="e">
        <f>"FINAL AUDIT " &amp; TEXT((U12/T12) * 100%, "0.00%")</f>
        <v>#DIV/0!</v>
      </c>
      <c r="D12" s="39"/>
      <c r="E12" s="2"/>
      <c r="F12" s="52">
        <f>IF(E12&gt;=D12,E12-D12,E12-D12+1)</f>
        <v>0</v>
      </c>
      <c r="G12" s="39"/>
      <c r="H12" s="2"/>
      <c r="I12" s="52">
        <f t="shared" ref="I12:I39" si="73">IF(H12&gt;=G12,H12-G12,H12-G12+1)</f>
        <v>0</v>
      </c>
      <c r="J12" s="38" t="s">
        <v>67</v>
      </c>
      <c r="K12" s="38"/>
      <c r="L12" s="14"/>
      <c r="M12" s="16"/>
      <c r="N12" s="16"/>
      <c r="O12" s="53">
        <f>IF(LEFT(M12,2)="01","JAPAN",IF(LEFT(M12,2)="03","CHINA",IF(LEFT(M12,2)="07","EUROPE",IF(LEFT(M12,2)="14","AU",IF(LEFT(M12,2)="17","CANADA",IF(LEFT(M12,2)="04","USA",IF(LEFT(M12,2)="10","TAIWAN",IF(LEFT(M12,2)="36","INDIA",IF(LEFT(M12,2)="05","KOREA",IF(LEFT(M12,2)="08","SINGAPORE",))))))))))</f>
        <v>0</v>
      </c>
      <c r="P12" s="17"/>
      <c r="Q12" s="53"/>
      <c r="R12" s="17"/>
      <c r="S12" s="45"/>
      <c r="T12" s="17"/>
      <c r="U12" s="3"/>
      <c r="V12" s="15" t="s">
        <v>67</v>
      </c>
      <c r="W12" s="18">
        <f t="shared" ref="W12:W39" si="74">SUM(Z12:CY12)</f>
        <v>0</v>
      </c>
      <c r="X12" s="19" t="e">
        <f>W12/U12</f>
        <v>#DIV/0!</v>
      </c>
      <c r="Y12" s="4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</row>
    <row r="13" spans="1:169" s="6" customFormat="1" ht="20.25" customHeight="1">
      <c r="A13" s="10"/>
      <c r="B13" s="10"/>
      <c r="C13" s="51" t="e">
        <f>"FINAL AUDIT " &amp; TEXT((U13/T13) * 100%, "0.00%")</f>
        <v>#DIV/0!</v>
      </c>
      <c r="D13" s="39"/>
      <c r="E13" s="2"/>
      <c r="F13" s="52">
        <f t="shared" ref="F13:F39" si="75">IF(E13&gt;=D13,E13-D13,E13-D13+1)</f>
        <v>0</v>
      </c>
      <c r="G13" s="39"/>
      <c r="H13" s="2"/>
      <c r="I13" s="52">
        <f t="shared" si="73"/>
        <v>0</v>
      </c>
      <c r="J13" s="38" t="s">
        <v>67</v>
      </c>
      <c r="K13" s="38"/>
      <c r="L13" s="14"/>
      <c r="M13" s="16"/>
      <c r="N13" s="16"/>
      <c r="O13" s="53">
        <f t="shared" ref="O13:O39" si="76">IF(LEFT(M13,2)="01","JAPAN",IF(LEFT(M13,2)="03","CHINA",IF(LEFT(M13,2)="07","EUROPE",IF(LEFT(M13,2)="14","AU",IF(LEFT(M13,2)="17","CANADA",IF(LEFT(M13,2)="04","USA",IF(LEFT(M13,2)="10","TAIWAN",IF(LEFT(M13,2)="36","INDIA",IF(LEFT(M13,2)="05","KOREA",IF(LEFT(M13,2)="08","SINGAPORE",))))))))))</f>
        <v>0</v>
      </c>
      <c r="P13" s="17"/>
      <c r="Q13" s="53"/>
      <c r="R13" s="17"/>
      <c r="S13" s="45"/>
      <c r="T13" s="17"/>
      <c r="U13" s="3"/>
      <c r="V13" s="15" t="s">
        <v>67</v>
      </c>
      <c r="W13" s="18">
        <f t="shared" si="74"/>
        <v>0</v>
      </c>
      <c r="X13" s="19" t="e">
        <f t="shared" ref="X13:X32" si="77">W13/U13</f>
        <v>#DIV/0!</v>
      </c>
      <c r="Y13" s="43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</row>
    <row r="14" spans="1:169" s="6" customFormat="1" ht="20.25" customHeight="1">
      <c r="A14" s="10"/>
      <c r="B14" s="10"/>
      <c r="C14" s="51" t="e">
        <f t="shared" ref="C14:C26" si="78">"FINAL AUDIT " &amp; TEXT((U14/T14) * 100%, "0.00%")</f>
        <v>#DIV/0!</v>
      </c>
      <c r="D14" s="39"/>
      <c r="E14" s="2"/>
      <c r="F14" s="52">
        <f t="shared" si="75"/>
        <v>0</v>
      </c>
      <c r="G14" s="39"/>
      <c r="H14" s="2"/>
      <c r="I14" s="52">
        <f t="shared" si="73"/>
        <v>0</v>
      </c>
      <c r="J14" s="38" t="s">
        <v>67</v>
      </c>
      <c r="K14" s="38"/>
      <c r="L14" s="14"/>
      <c r="M14" s="16"/>
      <c r="N14" s="16"/>
      <c r="O14" s="53">
        <f t="shared" si="76"/>
        <v>0</v>
      </c>
      <c r="P14" s="17"/>
      <c r="Q14" s="53"/>
      <c r="R14" s="17"/>
      <c r="S14" s="45"/>
      <c r="T14" s="17"/>
      <c r="U14" s="3"/>
      <c r="V14" s="15" t="s">
        <v>67</v>
      </c>
      <c r="W14" s="18">
        <f t="shared" si="74"/>
        <v>0</v>
      </c>
      <c r="X14" s="19" t="e">
        <f t="shared" si="77"/>
        <v>#DIV/0!</v>
      </c>
      <c r="Y14" s="4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</row>
    <row r="15" spans="1:169" s="6" customFormat="1" ht="20.25" customHeight="1">
      <c r="A15" s="10"/>
      <c r="B15" s="10"/>
      <c r="C15" s="51" t="e">
        <f t="shared" si="78"/>
        <v>#DIV/0!</v>
      </c>
      <c r="D15" s="39"/>
      <c r="E15" s="2"/>
      <c r="F15" s="52">
        <f t="shared" si="75"/>
        <v>0</v>
      </c>
      <c r="G15" s="39"/>
      <c r="H15" s="2"/>
      <c r="I15" s="52">
        <f t="shared" si="73"/>
        <v>0</v>
      </c>
      <c r="J15" s="38" t="s">
        <v>67</v>
      </c>
      <c r="K15" s="38"/>
      <c r="L15" s="14"/>
      <c r="M15" s="16"/>
      <c r="N15" s="16"/>
      <c r="O15" s="53">
        <f t="shared" si="76"/>
        <v>0</v>
      </c>
      <c r="P15" s="17"/>
      <c r="Q15" s="53"/>
      <c r="R15" s="17"/>
      <c r="S15" s="45"/>
      <c r="T15" s="17"/>
      <c r="U15" s="3"/>
      <c r="V15" s="15" t="s">
        <v>67</v>
      </c>
      <c r="W15" s="18">
        <f t="shared" si="74"/>
        <v>0</v>
      </c>
      <c r="X15" s="19" t="e">
        <f t="shared" si="77"/>
        <v>#DIV/0!</v>
      </c>
      <c r="Y15" s="4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</row>
    <row r="16" spans="1:169" s="6" customFormat="1" ht="20.25" customHeight="1">
      <c r="A16" s="10"/>
      <c r="B16" s="10"/>
      <c r="C16" s="51" t="e">
        <f t="shared" si="78"/>
        <v>#DIV/0!</v>
      </c>
      <c r="D16" s="39"/>
      <c r="E16" s="2"/>
      <c r="F16" s="52">
        <f t="shared" si="75"/>
        <v>0</v>
      </c>
      <c r="G16" s="39"/>
      <c r="H16" s="2"/>
      <c r="I16" s="52">
        <f t="shared" si="73"/>
        <v>0</v>
      </c>
      <c r="J16" s="38" t="s">
        <v>67</v>
      </c>
      <c r="K16" s="38"/>
      <c r="L16" s="14"/>
      <c r="M16" s="16"/>
      <c r="N16" s="16"/>
      <c r="O16" s="53">
        <f t="shared" si="76"/>
        <v>0</v>
      </c>
      <c r="P16" s="17"/>
      <c r="Q16" s="53"/>
      <c r="R16" s="17"/>
      <c r="S16" s="45"/>
      <c r="T16" s="17"/>
      <c r="U16" s="3"/>
      <c r="V16" s="15" t="s">
        <v>67</v>
      </c>
      <c r="W16" s="18">
        <f t="shared" si="74"/>
        <v>0</v>
      </c>
      <c r="X16" s="19" t="e">
        <f t="shared" si="77"/>
        <v>#DIV/0!</v>
      </c>
      <c r="Y16" s="4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</row>
    <row r="17" spans="1:169" s="6" customFormat="1" ht="20.25" customHeight="1">
      <c r="A17" s="10"/>
      <c r="B17" s="10"/>
      <c r="C17" s="51" t="e">
        <f t="shared" si="78"/>
        <v>#DIV/0!</v>
      </c>
      <c r="D17" s="39"/>
      <c r="E17" s="2"/>
      <c r="F17" s="52">
        <f t="shared" si="75"/>
        <v>0</v>
      </c>
      <c r="G17" s="39"/>
      <c r="H17" s="2"/>
      <c r="I17" s="52">
        <f t="shared" si="73"/>
        <v>0</v>
      </c>
      <c r="J17" s="38" t="s">
        <v>67</v>
      </c>
      <c r="K17" s="38"/>
      <c r="L17" s="14"/>
      <c r="M17" s="16"/>
      <c r="N17" s="16"/>
      <c r="O17" s="53">
        <f t="shared" si="76"/>
        <v>0</v>
      </c>
      <c r="P17" s="17"/>
      <c r="Q17" s="53"/>
      <c r="R17" s="17"/>
      <c r="S17" s="45"/>
      <c r="T17" s="17"/>
      <c r="U17" s="3"/>
      <c r="V17" s="15" t="s">
        <v>67</v>
      </c>
      <c r="W17" s="18">
        <f t="shared" si="74"/>
        <v>0</v>
      </c>
      <c r="X17" s="19" t="e">
        <f t="shared" si="77"/>
        <v>#DIV/0!</v>
      </c>
      <c r="Y17" s="43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</row>
    <row r="18" spans="1:169" s="6" customFormat="1" ht="20.25" customHeight="1">
      <c r="A18" s="10"/>
      <c r="B18" s="10"/>
      <c r="C18" s="51" t="e">
        <f t="shared" si="78"/>
        <v>#DIV/0!</v>
      </c>
      <c r="D18" s="39"/>
      <c r="E18" s="2"/>
      <c r="F18" s="52">
        <f t="shared" si="75"/>
        <v>0</v>
      </c>
      <c r="G18" s="39"/>
      <c r="H18" s="2"/>
      <c r="I18" s="52">
        <f t="shared" si="73"/>
        <v>0</v>
      </c>
      <c r="J18" s="38" t="s">
        <v>67</v>
      </c>
      <c r="K18" s="38"/>
      <c r="L18" s="14"/>
      <c r="M18" s="16"/>
      <c r="N18" s="16"/>
      <c r="O18" s="53">
        <f t="shared" si="76"/>
        <v>0</v>
      </c>
      <c r="P18" s="17"/>
      <c r="Q18" s="53"/>
      <c r="R18" s="17"/>
      <c r="S18" s="45"/>
      <c r="T18" s="17"/>
      <c r="U18" s="3"/>
      <c r="V18" s="15" t="s">
        <v>67</v>
      </c>
      <c r="W18" s="18">
        <f t="shared" si="74"/>
        <v>0</v>
      </c>
      <c r="X18" s="19" t="e">
        <f t="shared" si="77"/>
        <v>#DIV/0!</v>
      </c>
      <c r="Y18" s="4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</row>
    <row r="19" spans="1:169" s="6" customFormat="1" ht="20.25" customHeight="1">
      <c r="A19" s="10"/>
      <c r="B19" s="10"/>
      <c r="C19" s="51" t="e">
        <f t="shared" si="78"/>
        <v>#DIV/0!</v>
      </c>
      <c r="D19" s="39"/>
      <c r="E19" s="2"/>
      <c r="F19" s="52">
        <f t="shared" si="75"/>
        <v>0</v>
      </c>
      <c r="G19" s="39"/>
      <c r="H19" s="2"/>
      <c r="I19" s="52">
        <f t="shared" si="73"/>
        <v>0</v>
      </c>
      <c r="J19" s="38" t="s">
        <v>67</v>
      </c>
      <c r="K19" s="38"/>
      <c r="L19" s="14"/>
      <c r="M19" s="16"/>
      <c r="N19" s="16"/>
      <c r="O19" s="53">
        <f t="shared" si="76"/>
        <v>0</v>
      </c>
      <c r="P19" s="17"/>
      <c r="Q19" s="53"/>
      <c r="R19" s="17"/>
      <c r="S19" s="45"/>
      <c r="T19" s="17"/>
      <c r="U19" s="3"/>
      <c r="V19" s="15" t="s">
        <v>67</v>
      </c>
      <c r="W19" s="18">
        <f t="shared" si="74"/>
        <v>0</v>
      </c>
      <c r="X19" s="19" t="e">
        <f t="shared" si="77"/>
        <v>#DIV/0!</v>
      </c>
      <c r="Y19" s="4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</row>
    <row r="20" spans="1:169" s="6" customFormat="1" ht="20.25" customHeight="1">
      <c r="A20" s="10"/>
      <c r="B20" s="10"/>
      <c r="C20" s="51" t="e">
        <f t="shared" si="78"/>
        <v>#DIV/0!</v>
      </c>
      <c r="D20" s="39"/>
      <c r="E20" s="2"/>
      <c r="F20" s="52">
        <f t="shared" si="75"/>
        <v>0</v>
      </c>
      <c r="G20" s="39"/>
      <c r="H20" s="2"/>
      <c r="I20" s="52">
        <f t="shared" si="73"/>
        <v>0</v>
      </c>
      <c r="J20" s="38" t="s">
        <v>67</v>
      </c>
      <c r="K20" s="61"/>
      <c r="L20" s="14"/>
      <c r="M20" s="16"/>
      <c r="N20" s="16"/>
      <c r="O20" s="53">
        <f t="shared" si="76"/>
        <v>0</v>
      </c>
      <c r="P20" s="17"/>
      <c r="Q20" s="53"/>
      <c r="R20" s="17"/>
      <c r="S20" s="45"/>
      <c r="T20" s="17"/>
      <c r="U20" s="3"/>
      <c r="V20" s="15" t="s">
        <v>67</v>
      </c>
      <c r="W20" s="18">
        <f t="shared" si="74"/>
        <v>0</v>
      </c>
      <c r="X20" s="19" t="e">
        <f t="shared" si="77"/>
        <v>#DIV/0!</v>
      </c>
      <c r="Y20" s="43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</row>
    <row r="21" spans="1:169" s="6" customFormat="1" ht="20.25" customHeight="1">
      <c r="A21" s="10"/>
      <c r="B21" s="10"/>
      <c r="C21" s="51" t="e">
        <f t="shared" si="78"/>
        <v>#DIV/0!</v>
      </c>
      <c r="D21" s="39"/>
      <c r="E21" s="2"/>
      <c r="F21" s="52">
        <f t="shared" si="75"/>
        <v>0</v>
      </c>
      <c r="G21" s="39"/>
      <c r="H21" s="2"/>
      <c r="I21" s="52">
        <f t="shared" si="73"/>
        <v>0</v>
      </c>
      <c r="J21" s="38" t="s">
        <v>67</v>
      </c>
      <c r="K21" s="38"/>
      <c r="L21" s="14"/>
      <c r="M21" s="16"/>
      <c r="N21" s="16"/>
      <c r="O21" s="53">
        <f t="shared" si="76"/>
        <v>0</v>
      </c>
      <c r="P21" s="17"/>
      <c r="Q21" s="53"/>
      <c r="R21" s="17"/>
      <c r="S21" s="45"/>
      <c r="T21" s="17"/>
      <c r="U21" s="3"/>
      <c r="V21" s="15" t="s">
        <v>67</v>
      </c>
      <c r="W21" s="18">
        <f t="shared" si="74"/>
        <v>0</v>
      </c>
      <c r="X21" s="19" t="e">
        <f t="shared" si="77"/>
        <v>#DIV/0!</v>
      </c>
      <c r="Y21" s="4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</row>
    <row r="22" spans="1:169" s="6" customFormat="1" ht="20.25" customHeight="1">
      <c r="A22" s="10"/>
      <c r="B22" s="10"/>
      <c r="C22" s="51" t="e">
        <f t="shared" si="78"/>
        <v>#DIV/0!</v>
      </c>
      <c r="D22" s="39"/>
      <c r="E22" s="2"/>
      <c r="F22" s="52">
        <f t="shared" si="75"/>
        <v>0</v>
      </c>
      <c r="G22" s="39"/>
      <c r="H22" s="2"/>
      <c r="I22" s="52">
        <f t="shared" si="73"/>
        <v>0</v>
      </c>
      <c r="J22" s="38" t="s">
        <v>67</v>
      </c>
      <c r="K22" s="38"/>
      <c r="L22" s="14"/>
      <c r="M22" s="16"/>
      <c r="N22" s="16"/>
      <c r="O22" s="53">
        <f t="shared" si="76"/>
        <v>0</v>
      </c>
      <c r="P22" s="17"/>
      <c r="Q22" s="53"/>
      <c r="R22" s="17"/>
      <c r="S22" s="45"/>
      <c r="T22" s="17"/>
      <c r="U22" s="3"/>
      <c r="V22" s="15" t="s">
        <v>67</v>
      </c>
      <c r="W22" s="18">
        <f t="shared" si="74"/>
        <v>0</v>
      </c>
      <c r="X22" s="19" t="e">
        <f t="shared" si="77"/>
        <v>#DIV/0!</v>
      </c>
      <c r="Y22" s="43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</row>
    <row r="23" spans="1:169" s="6" customFormat="1" ht="20.25" customHeight="1">
      <c r="A23" s="10"/>
      <c r="B23" s="10"/>
      <c r="C23" s="51" t="e">
        <f t="shared" si="78"/>
        <v>#DIV/0!</v>
      </c>
      <c r="D23" s="39"/>
      <c r="E23" s="2"/>
      <c r="F23" s="52">
        <f t="shared" si="75"/>
        <v>0</v>
      </c>
      <c r="G23" s="39"/>
      <c r="H23" s="2"/>
      <c r="I23" s="52">
        <f t="shared" si="73"/>
        <v>0</v>
      </c>
      <c r="J23" s="38" t="s">
        <v>67</v>
      </c>
      <c r="K23" s="38"/>
      <c r="L23" s="14"/>
      <c r="M23" s="16"/>
      <c r="N23" s="16"/>
      <c r="O23" s="53">
        <f t="shared" si="76"/>
        <v>0</v>
      </c>
      <c r="P23" s="17"/>
      <c r="Q23" s="53"/>
      <c r="R23" s="17"/>
      <c r="S23" s="45"/>
      <c r="T23" s="17"/>
      <c r="U23" s="3"/>
      <c r="V23" s="15" t="s">
        <v>67</v>
      </c>
      <c r="W23" s="18">
        <f t="shared" si="74"/>
        <v>0</v>
      </c>
      <c r="X23" s="19" t="e">
        <f t="shared" si="77"/>
        <v>#DIV/0!</v>
      </c>
      <c r="Y23" s="43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</row>
    <row r="24" spans="1:169" s="6" customFormat="1" ht="20.25" customHeight="1">
      <c r="A24" s="10"/>
      <c r="B24" s="10"/>
      <c r="C24" s="51" t="e">
        <f t="shared" si="78"/>
        <v>#DIV/0!</v>
      </c>
      <c r="D24" s="39"/>
      <c r="E24" s="2"/>
      <c r="F24" s="52">
        <f t="shared" si="75"/>
        <v>0</v>
      </c>
      <c r="G24" s="39"/>
      <c r="H24" s="2"/>
      <c r="I24" s="52">
        <f t="shared" si="73"/>
        <v>0</v>
      </c>
      <c r="J24" s="38" t="s">
        <v>67</v>
      </c>
      <c r="K24" s="38"/>
      <c r="L24" s="14"/>
      <c r="M24" s="16"/>
      <c r="N24" s="16"/>
      <c r="O24" s="53">
        <f t="shared" si="76"/>
        <v>0</v>
      </c>
      <c r="P24" s="17"/>
      <c r="Q24" s="53"/>
      <c r="R24" s="17"/>
      <c r="S24" s="45"/>
      <c r="T24" s="17"/>
      <c r="U24" s="3"/>
      <c r="V24" s="15" t="s">
        <v>67</v>
      </c>
      <c r="W24" s="18">
        <f t="shared" si="74"/>
        <v>0</v>
      </c>
      <c r="X24" s="19" t="e">
        <f t="shared" si="77"/>
        <v>#DIV/0!</v>
      </c>
      <c r="Y24" s="43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</row>
    <row r="25" spans="1:169" s="6" customFormat="1" ht="20.25" customHeight="1">
      <c r="A25" s="10"/>
      <c r="B25" s="10"/>
      <c r="C25" s="51" t="e">
        <f t="shared" si="78"/>
        <v>#DIV/0!</v>
      </c>
      <c r="D25" s="39"/>
      <c r="E25" s="2"/>
      <c r="F25" s="52">
        <f t="shared" si="75"/>
        <v>0</v>
      </c>
      <c r="G25" s="39"/>
      <c r="H25" s="2"/>
      <c r="I25" s="52">
        <f t="shared" si="73"/>
        <v>0</v>
      </c>
      <c r="J25" s="38" t="s">
        <v>67</v>
      </c>
      <c r="K25" s="38"/>
      <c r="L25" s="14"/>
      <c r="M25" s="16"/>
      <c r="N25" s="16"/>
      <c r="O25" s="53">
        <f t="shared" si="76"/>
        <v>0</v>
      </c>
      <c r="P25" s="17"/>
      <c r="Q25" s="53"/>
      <c r="R25" s="17"/>
      <c r="S25" s="45"/>
      <c r="T25" s="17"/>
      <c r="U25" s="3"/>
      <c r="V25" s="15" t="s">
        <v>67</v>
      </c>
      <c r="W25" s="18">
        <f t="shared" si="74"/>
        <v>0</v>
      </c>
      <c r="X25" s="19" t="e">
        <f t="shared" si="77"/>
        <v>#DIV/0!</v>
      </c>
      <c r="Y25" s="43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</row>
    <row r="26" spans="1:169" s="6" customFormat="1" ht="20.25" customHeight="1">
      <c r="A26" s="10"/>
      <c r="B26" s="10"/>
      <c r="C26" s="51" t="e">
        <f t="shared" si="78"/>
        <v>#DIV/0!</v>
      </c>
      <c r="D26" s="39"/>
      <c r="E26" s="2"/>
      <c r="F26" s="52">
        <f t="shared" si="75"/>
        <v>0</v>
      </c>
      <c r="G26" s="39"/>
      <c r="H26" s="2"/>
      <c r="I26" s="52">
        <f t="shared" si="73"/>
        <v>0</v>
      </c>
      <c r="J26" s="38" t="s">
        <v>67</v>
      </c>
      <c r="K26" s="61"/>
      <c r="L26" s="14"/>
      <c r="M26" s="16"/>
      <c r="N26" s="16"/>
      <c r="O26" s="53">
        <f t="shared" si="76"/>
        <v>0</v>
      </c>
      <c r="P26" s="17"/>
      <c r="Q26" s="53"/>
      <c r="R26" s="17"/>
      <c r="S26" s="45"/>
      <c r="T26" s="17"/>
      <c r="U26" s="3"/>
      <c r="V26" s="15" t="s">
        <v>67</v>
      </c>
      <c r="W26" s="18">
        <f t="shared" si="74"/>
        <v>0</v>
      </c>
      <c r="X26" s="19" t="e">
        <f t="shared" si="77"/>
        <v>#DIV/0!</v>
      </c>
      <c r="Y26" s="43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</row>
    <row r="27" spans="1:169" s="6" customFormat="1" ht="20.25" customHeight="1">
      <c r="A27" s="10"/>
      <c r="B27" s="10"/>
      <c r="C27" s="51" t="e">
        <f t="shared" ref="C27:C39" si="79">"FINAL AUDIT " &amp; TEXT((U27/T27) * 100%, "0.00%")</f>
        <v>#DIV/0!</v>
      </c>
      <c r="D27" s="39"/>
      <c r="E27" s="2"/>
      <c r="F27" s="52">
        <f t="shared" si="75"/>
        <v>0</v>
      </c>
      <c r="G27" s="39"/>
      <c r="H27" s="2"/>
      <c r="I27" s="52">
        <f t="shared" si="73"/>
        <v>0</v>
      </c>
      <c r="J27" s="38" t="s">
        <v>67</v>
      </c>
      <c r="K27" s="38"/>
      <c r="L27" s="14"/>
      <c r="M27" s="16"/>
      <c r="N27" s="16"/>
      <c r="O27" s="53">
        <f t="shared" si="76"/>
        <v>0</v>
      </c>
      <c r="P27" s="17"/>
      <c r="Q27" s="53"/>
      <c r="R27" s="17"/>
      <c r="S27" s="45"/>
      <c r="T27" s="17"/>
      <c r="U27" s="3"/>
      <c r="V27" s="15" t="s">
        <v>67</v>
      </c>
      <c r="W27" s="18">
        <f t="shared" si="74"/>
        <v>0</v>
      </c>
      <c r="X27" s="19" t="e">
        <f t="shared" si="77"/>
        <v>#DIV/0!</v>
      </c>
      <c r="Y27" s="43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</row>
    <row r="28" spans="1:169" s="6" customFormat="1" ht="20.25" customHeight="1">
      <c r="A28" s="10"/>
      <c r="B28" s="10"/>
      <c r="C28" s="51" t="e">
        <f t="shared" si="79"/>
        <v>#DIV/0!</v>
      </c>
      <c r="D28" s="39"/>
      <c r="E28" s="2"/>
      <c r="F28" s="52">
        <f t="shared" si="75"/>
        <v>0</v>
      </c>
      <c r="G28" s="39"/>
      <c r="H28" s="2"/>
      <c r="I28" s="52">
        <f t="shared" si="73"/>
        <v>0</v>
      </c>
      <c r="J28" s="38" t="s">
        <v>67</v>
      </c>
      <c r="K28" s="38"/>
      <c r="L28" s="14"/>
      <c r="M28" s="16"/>
      <c r="N28" s="16"/>
      <c r="O28" s="53">
        <f t="shared" si="76"/>
        <v>0</v>
      </c>
      <c r="P28" s="17"/>
      <c r="Q28" s="53"/>
      <c r="R28" s="17"/>
      <c r="S28" s="45"/>
      <c r="T28" s="17"/>
      <c r="U28" s="3"/>
      <c r="V28" s="15" t="s">
        <v>67</v>
      </c>
      <c r="W28" s="18">
        <f t="shared" si="74"/>
        <v>0</v>
      </c>
      <c r="X28" s="19" t="e">
        <f t="shared" si="77"/>
        <v>#DIV/0!</v>
      </c>
      <c r="Y28" s="43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</row>
    <row r="29" spans="1:169" s="6" customFormat="1" ht="20.25" customHeight="1">
      <c r="A29" s="10"/>
      <c r="B29" s="10"/>
      <c r="C29" s="51" t="e">
        <f t="shared" si="79"/>
        <v>#DIV/0!</v>
      </c>
      <c r="D29" s="39"/>
      <c r="E29" s="2"/>
      <c r="F29" s="52">
        <f t="shared" si="75"/>
        <v>0</v>
      </c>
      <c r="G29" s="39"/>
      <c r="H29" s="2"/>
      <c r="I29" s="52">
        <f t="shared" si="73"/>
        <v>0</v>
      </c>
      <c r="J29" s="38" t="s">
        <v>67</v>
      </c>
      <c r="K29" s="38"/>
      <c r="L29" s="14"/>
      <c r="M29" s="16"/>
      <c r="N29" s="16"/>
      <c r="O29" s="53">
        <f t="shared" si="76"/>
        <v>0</v>
      </c>
      <c r="P29" s="17"/>
      <c r="Q29" s="53"/>
      <c r="R29" s="17"/>
      <c r="S29" s="45"/>
      <c r="T29" s="17"/>
      <c r="U29" s="3"/>
      <c r="V29" s="15" t="s">
        <v>67</v>
      </c>
      <c r="W29" s="18">
        <f t="shared" si="74"/>
        <v>0</v>
      </c>
      <c r="X29" s="19" t="e">
        <f t="shared" si="77"/>
        <v>#DIV/0!</v>
      </c>
      <c r="Y29" s="43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</row>
    <row r="30" spans="1:169" s="6" customFormat="1" ht="20.25" customHeight="1">
      <c r="A30" s="10"/>
      <c r="B30" s="10"/>
      <c r="C30" s="51" t="e">
        <f t="shared" si="79"/>
        <v>#DIV/0!</v>
      </c>
      <c r="D30" s="39"/>
      <c r="E30" s="2"/>
      <c r="F30" s="52">
        <f t="shared" si="75"/>
        <v>0</v>
      </c>
      <c r="G30" s="39"/>
      <c r="H30" s="2"/>
      <c r="I30" s="52">
        <f t="shared" si="73"/>
        <v>0</v>
      </c>
      <c r="J30" s="38" t="s">
        <v>67</v>
      </c>
      <c r="K30" s="61"/>
      <c r="L30" s="14"/>
      <c r="M30" s="16"/>
      <c r="N30" s="16"/>
      <c r="O30" s="53">
        <f t="shared" si="76"/>
        <v>0</v>
      </c>
      <c r="P30" s="17"/>
      <c r="Q30" s="53"/>
      <c r="R30" s="17"/>
      <c r="S30" s="45"/>
      <c r="T30" s="17"/>
      <c r="U30" s="3"/>
      <c r="V30" s="15" t="s">
        <v>67</v>
      </c>
      <c r="W30" s="18">
        <f t="shared" si="74"/>
        <v>0</v>
      </c>
      <c r="X30" s="19" t="e">
        <f t="shared" si="77"/>
        <v>#DIV/0!</v>
      </c>
      <c r="Y30" s="43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</row>
    <row r="31" spans="1:169" s="6" customFormat="1" ht="20.25" customHeight="1">
      <c r="A31" s="10"/>
      <c r="B31" s="10"/>
      <c r="C31" s="51" t="e">
        <f t="shared" si="79"/>
        <v>#DIV/0!</v>
      </c>
      <c r="D31" s="39"/>
      <c r="E31" s="2"/>
      <c r="F31" s="52">
        <f t="shared" si="75"/>
        <v>0</v>
      </c>
      <c r="G31" s="39"/>
      <c r="H31" s="2"/>
      <c r="I31" s="52">
        <f t="shared" si="73"/>
        <v>0</v>
      </c>
      <c r="J31" s="38" t="s">
        <v>67</v>
      </c>
      <c r="K31" s="38"/>
      <c r="L31" s="14"/>
      <c r="M31" s="16"/>
      <c r="N31" s="16"/>
      <c r="O31" s="53">
        <f t="shared" si="76"/>
        <v>0</v>
      </c>
      <c r="P31" s="17"/>
      <c r="Q31" s="53"/>
      <c r="R31" s="17"/>
      <c r="S31" s="45"/>
      <c r="T31" s="17"/>
      <c r="U31" s="3"/>
      <c r="V31" s="15" t="s">
        <v>67</v>
      </c>
      <c r="W31" s="18">
        <f t="shared" si="74"/>
        <v>0</v>
      </c>
      <c r="X31" s="19" t="e">
        <f t="shared" si="77"/>
        <v>#DIV/0!</v>
      </c>
      <c r="Y31" s="43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</row>
    <row r="32" spans="1:169" s="6" customFormat="1" ht="20.25" customHeight="1">
      <c r="A32" s="10"/>
      <c r="B32" s="10"/>
      <c r="C32" s="51" t="e">
        <f t="shared" si="79"/>
        <v>#DIV/0!</v>
      </c>
      <c r="D32" s="39"/>
      <c r="E32" s="2"/>
      <c r="F32" s="52">
        <f t="shared" si="75"/>
        <v>0</v>
      </c>
      <c r="G32" s="39"/>
      <c r="H32" s="2"/>
      <c r="I32" s="52">
        <f t="shared" si="73"/>
        <v>0</v>
      </c>
      <c r="J32" s="38" t="s">
        <v>67</v>
      </c>
      <c r="K32" s="38"/>
      <c r="L32" s="14"/>
      <c r="M32" s="16"/>
      <c r="N32" s="16"/>
      <c r="O32" s="53">
        <f t="shared" si="76"/>
        <v>0</v>
      </c>
      <c r="P32" s="17"/>
      <c r="Q32" s="53"/>
      <c r="R32" s="17"/>
      <c r="S32" s="45"/>
      <c r="T32" s="17"/>
      <c r="U32" s="3"/>
      <c r="V32" s="15" t="s">
        <v>67</v>
      </c>
      <c r="W32" s="18">
        <f t="shared" si="74"/>
        <v>0</v>
      </c>
      <c r="X32" s="19" t="e">
        <f t="shared" si="77"/>
        <v>#DIV/0!</v>
      </c>
      <c r="Y32" s="43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</row>
    <row r="33" spans="1:170" s="6" customFormat="1" ht="20.25" customHeight="1">
      <c r="A33" s="10"/>
      <c r="B33" s="10"/>
      <c r="C33" s="51" t="e">
        <f t="shared" si="79"/>
        <v>#DIV/0!</v>
      </c>
      <c r="D33" s="39"/>
      <c r="E33" s="2"/>
      <c r="F33" s="52">
        <f t="shared" si="75"/>
        <v>0</v>
      </c>
      <c r="G33" s="39"/>
      <c r="H33" s="2"/>
      <c r="I33" s="52">
        <f t="shared" si="73"/>
        <v>0</v>
      </c>
      <c r="J33" s="38" t="s">
        <v>67</v>
      </c>
      <c r="K33" s="38"/>
      <c r="L33" s="14"/>
      <c r="M33" s="16"/>
      <c r="N33" s="16"/>
      <c r="O33" s="53">
        <f t="shared" si="76"/>
        <v>0</v>
      </c>
      <c r="P33" s="17"/>
      <c r="Q33" s="53"/>
      <c r="R33" s="17"/>
      <c r="S33" s="45"/>
      <c r="T33" s="17"/>
      <c r="U33" s="3"/>
      <c r="V33" s="15" t="s">
        <v>67</v>
      </c>
      <c r="W33" s="18">
        <f t="shared" si="74"/>
        <v>0</v>
      </c>
      <c r="X33" s="19" t="e">
        <f t="shared" ref="X33:X38" si="80">W33/U33</f>
        <v>#DIV/0!</v>
      </c>
      <c r="Y33" s="43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</row>
    <row r="34" spans="1:170" s="6" customFormat="1" ht="20.25" customHeight="1">
      <c r="A34" s="10"/>
      <c r="B34" s="10"/>
      <c r="C34" s="51" t="e">
        <f t="shared" si="79"/>
        <v>#DIV/0!</v>
      </c>
      <c r="D34" s="39"/>
      <c r="E34" s="2"/>
      <c r="F34" s="52">
        <f t="shared" si="75"/>
        <v>0</v>
      </c>
      <c r="G34" s="39"/>
      <c r="H34" s="2"/>
      <c r="I34" s="52">
        <f t="shared" si="73"/>
        <v>0</v>
      </c>
      <c r="J34" s="38" t="s">
        <v>67</v>
      </c>
      <c r="K34" s="38"/>
      <c r="L34" s="14"/>
      <c r="M34" s="16"/>
      <c r="N34" s="16"/>
      <c r="O34" s="53">
        <f t="shared" si="76"/>
        <v>0</v>
      </c>
      <c r="P34" s="17"/>
      <c r="Q34" s="53"/>
      <c r="R34" s="17"/>
      <c r="S34" s="45"/>
      <c r="T34" s="17"/>
      <c r="U34" s="3"/>
      <c r="V34" s="15" t="s">
        <v>67</v>
      </c>
      <c r="W34" s="18">
        <f t="shared" si="74"/>
        <v>0</v>
      </c>
      <c r="X34" s="19" t="e">
        <f t="shared" si="80"/>
        <v>#DIV/0!</v>
      </c>
      <c r="Y34" s="43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</row>
    <row r="35" spans="1:170" s="6" customFormat="1" ht="20.25" customHeight="1">
      <c r="A35" s="10"/>
      <c r="B35" s="10"/>
      <c r="C35" s="51" t="e">
        <f t="shared" si="79"/>
        <v>#DIV/0!</v>
      </c>
      <c r="D35" s="39"/>
      <c r="E35" s="2"/>
      <c r="F35" s="52">
        <f t="shared" si="75"/>
        <v>0</v>
      </c>
      <c r="G35" s="39"/>
      <c r="H35" s="2"/>
      <c r="I35" s="52">
        <f t="shared" si="73"/>
        <v>0</v>
      </c>
      <c r="J35" s="38" t="s">
        <v>67</v>
      </c>
      <c r="K35" s="38"/>
      <c r="L35" s="14"/>
      <c r="M35" s="16"/>
      <c r="N35" s="16"/>
      <c r="O35" s="53">
        <f t="shared" si="76"/>
        <v>0</v>
      </c>
      <c r="P35" s="17"/>
      <c r="Q35" s="53"/>
      <c r="R35" s="17"/>
      <c r="S35" s="45"/>
      <c r="T35" s="17"/>
      <c r="U35" s="3"/>
      <c r="V35" s="15" t="s">
        <v>67</v>
      </c>
      <c r="W35" s="18">
        <f t="shared" si="74"/>
        <v>0</v>
      </c>
      <c r="X35" s="19" t="e">
        <f t="shared" si="80"/>
        <v>#DIV/0!</v>
      </c>
      <c r="Y35" s="43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</row>
    <row r="36" spans="1:170" s="6" customFormat="1" ht="20.25" customHeight="1">
      <c r="A36" s="10"/>
      <c r="B36" s="10"/>
      <c r="C36" s="51" t="e">
        <f t="shared" si="79"/>
        <v>#DIV/0!</v>
      </c>
      <c r="D36" s="39"/>
      <c r="E36" s="2"/>
      <c r="F36" s="52">
        <f t="shared" si="75"/>
        <v>0</v>
      </c>
      <c r="G36" s="39"/>
      <c r="H36" s="2"/>
      <c r="I36" s="52">
        <f t="shared" si="73"/>
        <v>0</v>
      </c>
      <c r="J36" s="38" t="s">
        <v>67</v>
      </c>
      <c r="K36" s="38"/>
      <c r="L36" s="14"/>
      <c r="M36" s="16"/>
      <c r="N36" s="16"/>
      <c r="O36" s="53">
        <f t="shared" si="76"/>
        <v>0</v>
      </c>
      <c r="P36" s="17"/>
      <c r="Q36" s="53"/>
      <c r="R36" s="17"/>
      <c r="S36" s="45"/>
      <c r="T36" s="17"/>
      <c r="U36" s="3"/>
      <c r="V36" s="15" t="s">
        <v>67</v>
      </c>
      <c r="W36" s="18">
        <f t="shared" si="74"/>
        <v>0</v>
      </c>
      <c r="X36" s="19" t="e">
        <f t="shared" si="80"/>
        <v>#DIV/0!</v>
      </c>
      <c r="Y36" s="43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</row>
    <row r="37" spans="1:170" s="6" customFormat="1" ht="20.25" customHeight="1">
      <c r="A37" s="10"/>
      <c r="B37" s="10"/>
      <c r="C37" s="51" t="e">
        <f t="shared" si="79"/>
        <v>#DIV/0!</v>
      </c>
      <c r="D37" s="39"/>
      <c r="E37" s="2"/>
      <c r="F37" s="52">
        <f t="shared" si="75"/>
        <v>0</v>
      </c>
      <c r="G37" s="39"/>
      <c r="H37" s="2"/>
      <c r="I37" s="52">
        <f t="shared" si="73"/>
        <v>0</v>
      </c>
      <c r="J37" s="38" t="s">
        <v>67</v>
      </c>
      <c r="K37" s="38"/>
      <c r="L37" s="14"/>
      <c r="M37" s="16"/>
      <c r="N37" s="16"/>
      <c r="O37" s="53">
        <f t="shared" si="76"/>
        <v>0</v>
      </c>
      <c r="P37" s="17"/>
      <c r="Q37" s="53"/>
      <c r="R37" s="17"/>
      <c r="S37" s="45"/>
      <c r="T37" s="17"/>
      <c r="U37" s="3"/>
      <c r="V37" s="15" t="s">
        <v>67</v>
      </c>
      <c r="W37" s="18">
        <f t="shared" si="74"/>
        <v>0</v>
      </c>
      <c r="X37" s="19" t="e">
        <f t="shared" si="80"/>
        <v>#DIV/0!</v>
      </c>
      <c r="Y37" s="43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</row>
    <row r="38" spans="1:170" s="6" customFormat="1" ht="20.25" customHeight="1">
      <c r="A38" s="10"/>
      <c r="B38" s="10"/>
      <c r="C38" s="51" t="e">
        <f t="shared" si="79"/>
        <v>#DIV/0!</v>
      </c>
      <c r="D38" s="39"/>
      <c r="E38" s="2"/>
      <c r="F38" s="52">
        <f t="shared" si="75"/>
        <v>0</v>
      </c>
      <c r="G38" s="39"/>
      <c r="H38" s="2"/>
      <c r="I38" s="52">
        <f t="shared" si="73"/>
        <v>0</v>
      </c>
      <c r="J38" s="38" t="s">
        <v>67</v>
      </c>
      <c r="K38" s="61"/>
      <c r="L38" s="14"/>
      <c r="M38" s="16"/>
      <c r="N38" s="16"/>
      <c r="O38" s="53">
        <f t="shared" si="76"/>
        <v>0</v>
      </c>
      <c r="P38" s="17"/>
      <c r="Q38" s="53"/>
      <c r="R38" s="17"/>
      <c r="S38" s="45"/>
      <c r="T38" s="17"/>
      <c r="U38" s="3"/>
      <c r="V38" s="15" t="s">
        <v>67</v>
      </c>
      <c r="W38" s="18">
        <f t="shared" si="74"/>
        <v>0</v>
      </c>
      <c r="X38" s="19" t="e">
        <f t="shared" si="80"/>
        <v>#DIV/0!</v>
      </c>
      <c r="Y38" s="43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</row>
    <row r="39" spans="1:170" s="6" customFormat="1" ht="20.25" customHeight="1">
      <c r="A39" s="10"/>
      <c r="B39" s="10"/>
      <c r="C39" s="51" t="e">
        <f t="shared" si="79"/>
        <v>#DIV/0!</v>
      </c>
      <c r="D39" s="39"/>
      <c r="E39" s="2"/>
      <c r="F39" s="52">
        <f t="shared" si="75"/>
        <v>0</v>
      </c>
      <c r="G39" s="39"/>
      <c r="H39" s="2"/>
      <c r="I39" s="52">
        <f t="shared" si="73"/>
        <v>0</v>
      </c>
      <c r="J39" s="38" t="s">
        <v>67</v>
      </c>
      <c r="K39" s="38"/>
      <c r="L39" s="14"/>
      <c r="M39" s="16"/>
      <c r="N39" s="16"/>
      <c r="O39" s="53">
        <f t="shared" si="76"/>
        <v>0</v>
      </c>
      <c r="P39" s="17"/>
      <c r="Q39" s="53"/>
      <c r="R39" s="17"/>
      <c r="S39" s="45"/>
      <c r="T39" s="17"/>
      <c r="U39" s="3"/>
      <c r="V39" s="15" t="s">
        <v>67</v>
      </c>
      <c r="W39" s="18">
        <f t="shared" si="74"/>
        <v>0</v>
      </c>
      <c r="X39" s="19" t="e">
        <f t="shared" ref="X39" si="81">W39/U39</f>
        <v>#DIV/0!</v>
      </c>
      <c r="Y39" s="43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</row>
    <row r="40" spans="1:170">
      <c r="X40" s="46"/>
      <c r="Y40" s="46"/>
      <c r="Z40" s="46"/>
      <c r="AA40" s="46"/>
      <c r="AB40" s="46"/>
      <c r="AC40" s="46"/>
      <c r="AD40" s="46"/>
      <c r="AE40" s="46"/>
      <c r="AF40" s="46"/>
      <c r="AG40" s="46"/>
      <c r="AH40" s="46"/>
      <c r="AI40" s="46"/>
      <c r="AJ40" s="46"/>
    </row>
    <row r="41" spans="1:170" s="7" customFormat="1">
      <c r="F41" s="41"/>
      <c r="I41" s="8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</row>
    <row r="42" spans="1:170" s="7" customFormat="1">
      <c r="F42" s="41"/>
      <c r="I42" s="8"/>
      <c r="X42" s="46"/>
      <c r="Y42" s="46"/>
      <c r="Z42" s="46"/>
      <c r="AA42" s="46"/>
      <c r="AB42" s="46"/>
      <c r="AC42" s="46"/>
      <c r="AD42" s="46"/>
      <c r="AE42" s="46"/>
      <c r="AF42" s="46"/>
      <c r="AG42" s="46"/>
      <c r="AH42" s="46"/>
      <c r="AI42" s="46"/>
      <c r="AJ42" s="46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</row>
    <row r="43" spans="1:170" s="7" customFormat="1">
      <c r="F43" s="41"/>
      <c r="I43" s="8"/>
      <c r="Z43" s="46"/>
      <c r="AA43" s="46"/>
      <c r="AB43" s="46"/>
      <c r="AC43" s="46"/>
      <c r="AD43" s="46"/>
      <c r="AE43" s="46"/>
      <c r="AF43" s="46"/>
      <c r="AG43" s="46"/>
      <c r="AH43" s="46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</row>
    <row r="44" spans="1:170" s="7" customFormat="1">
      <c r="F44" s="41"/>
      <c r="I44" s="8"/>
      <c r="Z44" s="46"/>
      <c r="AA44" s="46"/>
      <c r="AB44" s="46"/>
      <c r="AC44" s="46"/>
      <c r="AD44" s="46"/>
      <c r="AE44" s="46"/>
      <c r="AF44" s="46"/>
      <c r="AG44" s="46"/>
      <c r="AH44" s="46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</row>
    <row r="45" spans="1:170" s="7" customFormat="1">
      <c r="F45" s="41"/>
      <c r="I45" s="8"/>
      <c r="Z45" s="46"/>
      <c r="AA45" s="46"/>
      <c r="AB45" s="46"/>
      <c r="AC45" s="46"/>
      <c r="AD45" s="46"/>
      <c r="AE45" s="46"/>
      <c r="AF45" s="46"/>
      <c r="AG45" s="46"/>
      <c r="AH45" s="46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</row>
    <row r="46" spans="1:170" s="7" customFormat="1">
      <c r="F46" s="41"/>
      <c r="I46" s="8"/>
      <c r="Z46" s="46"/>
      <c r="AA46" s="46"/>
      <c r="AB46" s="46"/>
      <c r="AC46" s="46"/>
      <c r="AD46" s="46"/>
      <c r="AE46" s="46"/>
      <c r="AF46" s="46"/>
      <c r="AG46" s="46"/>
      <c r="AH46" s="46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</row>
    <row r="47" spans="1:170" s="7" customFormat="1">
      <c r="F47" s="41"/>
      <c r="I47" s="8"/>
      <c r="Z47" s="46"/>
      <c r="AA47" s="46"/>
      <c r="AB47" s="46"/>
      <c r="AC47" s="46"/>
      <c r="AD47" s="46"/>
      <c r="AE47" s="46"/>
      <c r="AF47" s="46"/>
      <c r="AG47" s="46"/>
      <c r="AH47" s="46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</row>
    <row r="48" spans="1:170" s="7" customFormat="1">
      <c r="F48" s="41"/>
      <c r="I48" s="8"/>
      <c r="Z48" s="46"/>
      <c r="AA48" s="46"/>
      <c r="AB48" s="46"/>
      <c r="AC48" s="46"/>
      <c r="AD48" s="46"/>
      <c r="AE48" s="46"/>
      <c r="AF48" s="46"/>
      <c r="AG48" s="46"/>
      <c r="AH48" s="46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</row>
    <row r="49" spans="6:170" s="7" customFormat="1">
      <c r="F49" s="41"/>
      <c r="I49" s="8"/>
      <c r="Z49" s="46"/>
      <c r="AA49" s="46"/>
      <c r="AB49" s="46"/>
      <c r="AC49" s="46"/>
      <c r="AD49" s="46"/>
      <c r="AE49" s="46"/>
      <c r="AF49" s="46"/>
      <c r="AG49" s="46"/>
      <c r="AH49" s="46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</row>
    <row r="50" spans="6:170" s="7" customFormat="1">
      <c r="F50" s="41"/>
      <c r="I50" s="8"/>
      <c r="Z50" s="46"/>
      <c r="AA50" s="46"/>
      <c r="AB50" s="46"/>
      <c r="AC50" s="46"/>
      <c r="AD50" s="46"/>
      <c r="AE50" s="46"/>
      <c r="AF50" s="46"/>
      <c r="AG50" s="46"/>
      <c r="AH50" s="46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</row>
    <row r="51" spans="6:170" s="7" customFormat="1">
      <c r="F51" s="41"/>
      <c r="I51" s="8"/>
      <c r="Z51" s="46"/>
      <c r="AA51" s="46"/>
      <c r="AB51" s="46"/>
      <c r="AC51" s="46"/>
      <c r="AD51" s="46"/>
      <c r="AE51" s="46"/>
      <c r="AF51" s="46"/>
      <c r="AG51" s="46"/>
      <c r="AH51" s="46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</row>
    <row r="52" spans="6:170" s="7" customFormat="1">
      <c r="F52" s="41"/>
      <c r="I52" s="8"/>
      <c r="Z52" s="46"/>
      <c r="AA52" s="46"/>
      <c r="AB52" s="46"/>
      <c r="AC52" s="46"/>
      <c r="AD52" s="46"/>
      <c r="AE52" s="46"/>
      <c r="AF52" s="46"/>
      <c r="AG52" s="46"/>
      <c r="AH52" s="46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</row>
    <row r="53" spans="6:170" s="7" customFormat="1">
      <c r="F53" s="41"/>
      <c r="I53" s="8"/>
      <c r="Z53" s="46"/>
      <c r="AA53" s="46"/>
      <c r="AB53" s="46"/>
      <c r="AC53" s="46"/>
      <c r="AD53" s="46"/>
      <c r="AE53" s="46"/>
      <c r="AF53" s="46"/>
      <c r="AG53" s="46"/>
      <c r="AH53" s="46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</row>
    <row r="54" spans="6:170" s="7" customFormat="1">
      <c r="F54" s="41"/>
      <c r="I54" s="8"/>
      <c r="Z54" s="46"/>
      <c r="AA54" s="46"/>
      <c r="AB54" s="46"/>
      <c r="AC54" s="46"/>
      <c r="AD54" s="46"/>
      <c r="AE54" s="46"/>
      <c r="AF54" s="46"/>
      <c r="AG54" s="46"/>
      <c r="AH54" s="46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</row>
    <row r="55" spans="6:170" s="7" customFormat="1">
      <c r="F55" s="41"/>
      <c r="I55" s="8"/>
      <c r="Z55" s="46"/>
      <c r="AA55" s="46"/>
      <c r="AB55" s="46"/>
      <c r="AC55" s="46"/>
      <c r="AD55" s="46"/>
      <c r="AE55" s="46"/>
      <c r="AF55" s="46"/>
      <c r="AG55" s="46"/>
      <c r="AH55" s="46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</row>
    <row r="56" spans="6:170" s="7" customFormat="1">
      <c r="F56" s="41"/>
      <c r="I56" s="8"/>
      <c r="Z56" s="46"/>
      <c r="AA56" s="46"/>
      <c r="AB56" s="46"/>
      <c r="AC56" s="46"/>
      <c r="AD56" s="46"/>
      <c r="AE56" s="46"/>
      <c r="AF56" s="46"/>
      <c r="AG56" s="46"/>
      <c r="AH56" s="46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</row>
    <row r="57" spans="6:170" s="7" customFormat="1">
      <c r="F57" s="41"/>
      <c r="I57" s="8"/>
      <c r="Z57" s="46"/>
      <c r="AA57" s="46"/>
      <c r="AB57" s="46"/>
      <c r="AC57" s="46"/>
      <c r="AD57" s="46"/>
      <c r="AE57" s="46"/>
      <c r="AF57" s="46"/>
      <c r="AG57" s="46"/>
      <c r="AH57" s="46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</row>
    <row r="58" spans="6:170" s="7" customFormat="1">
      <c r="F58" s="41"/>
      <c r="I58" s="8"/>
      <c r="Z58" s="46"/>
      <c r="AA58" s="46"/>
      <c r="AB58" s="46"/>
      <c r="AC58" s="46"/>
      <c r="AD58" s="46"/>
      <c r="AE58" s="46"/>
      <c r="AF58" s="46"/>
      <c r="AG58" s="46"/>
      <c r="AH58" s="46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</row>
    <row r="59" spans="6:170" s="7" customFormat="1">
      <c r="F59" s="41"/>
      <c r="I59" s="8"/>
      <c r="Z59" s="46"/>
      <c r="AA59" s="46"/>
      <c r="AB59" s="46"/>
      <c r="AC59" s="46"/>
      <c r="AD59" s="46"/>
      <c r="AE59" s="46"/>
      <c r="AF59" s="46"/>
      <c r="AG59" s="46"/>
      <c r="AH59" s="46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</row>
    <row r="60" spans="6:170" s="7" customFormat="1">
      <c r="F60" s="41"/>
      <c r="I60" s="8"/>
      <c r="Z60" s="46"/>
      <c r="AA60" s="46"/>
      <c r="AB60" s="46"/>
      <c r="AC60" s="46"/>
      <c r="AD60" s="46"/>
      <c r="AE60" s="46"/>
      <c r="AF60" s="46"/>
      <c r="AG60" s="46"/>
      <c r="AH60" s="46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</row>
    <row r="61" spans="6:170" s="7" customFormat="1">
      <c r="F61" s="41"/>
      <c r="I61" s="8"/>
      <c r="Z61" s="46"/>
      <c r="AA61" s="46"/>
      <c r="AB61" s="46"/>
      <c r="AC61" s="46"/>
      <c r="AD61" s="46"/>
      <c r="AE61" s="46"/>
      <c r="AF61" s="46"/>
      <c r="AG61" s="46"/>
      <c r="AH61" s="46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</row>
    <row r="62" spans="6:170" s="7" customFormat="1">
      <c r="F62" s="41"/>
      <c r="I62" s="8"/>
      <c r="Z62" s="46"/>
      <c r="AA62" s="46"/>
      <c r="AB62" s="46"/>
      <c r="AC62" s="46"/>
      <c r="AD62" s="46"/>
      <c r="AE62" s="46"/>
      <c r="AF62" s="46"/>
      <c r="AG62" s="46"/>
      <c r="AH62" s="46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</row>
    <row r="63" spans="6:170" s="7" customFormat="1">
      <c r="F63" s="41"/>
      <c r="I63" s="8"/>
      <c r="Z63" s="46"/>
      <c r="AA63" s="46"/>
      <c r="AB63" s="46"/>
      <c r="AC63" s="46"/>
      <c r="AD63" s="46"/>
      <c r="AE63" s="46"/>
      <c r="AF63" s="46"/>
      <c r="AG63" s="46"/>
      <c r="AH63" s="46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</row>
    <row r="64" spans="6:170" s="7" customFormat="1">
      <c r="F64" s="41"/>
      <c r="I64" s="8"/>
      <c r="Z64" s="46"/>
      <c r="AA64" s="46"/>
      <c r="AB64" s="46"/>
      <c r="AC64" s="46"/>
      <c r="AD64" s="46"/>
      <c r="AE64" s="46"/>
      <c r="AF64" s="46"/>
      <c r="AG64" s="46"/>
      <c r="AH64" s="46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</row>
    <row r="65" spans="6:170" s="7" customFormat="1">
      <c r="F65" s="41"/>
      <c r="I65" s="8"/>
      <c r="Z65" s="46"/>
      <c r="AA65" s="46"/>
      <c r="AB65" s="46"/>
      <c r="AC65" s="46"/>
      <c r="AD65" s="46"/>
      <c r="AE65" s="46"/>
      <c r="AF65" s="46"/>
      <c r="AG65" s="46"/>
      <c r="AH65" s="46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</row>
    <row r="66" spans="6:170" s="7" customFormat="1">
      <c r="F66" s="41"/>
      <c r="I66" s="8"/>
      <c r="Z66" s="46"/>
      <c r="AA66" s="46"/>
      <c r="AB66" s="46"/>
      <c r="AC66" s="46"/>
      <c r="AD66" s="46"/>
      <c r="AE66" s="46"/>
      <c r="AF66" s="46"/>
      <c r="AG66" s="46"/>
      <c r="AH66" s="46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</row>
    <row r="67" spans="6:170" s="7" customFormat="1">
      <c r="F67" s="41"/>
      <c r="I67" s="8"/>
      <c r="Z67" s="46"/>
      <c r="AA67" s="46"/>
      <c r="AB67" s="46"/>
      <c r="AC67" s="46"/>
      <c r="AD67" s="46"/>
      <c r="AE67" s="46"/>
      <c r="AF67" s="46"/>
      <c r="AG67" s="46"/>
      <c r="AH67" s="46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</row>
    <row r="68" spans="6:170" s="7" customFormat="1">
      <c r="F68" s="41"/>
      <c r="I68" s="8"/>
      <c r="Z68" s="46"/>
      <c r="AA68" s="46"/>
      <c r="AB68" s="46"/>
      <c r="AC68" s="46"/>
      <c r="AD68" s="46"/>
      <c r="AE68" s="46"/>
      <c r="AF68" s="46"/>
      <c r="AG68" s="46"/>
      <c r="AH68" s="46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</row>
    <row r="69" spans="6:170" s="7" customFormat="1">
      <c r="F69" s="41"/>
      <c r="I69" s="8"/>
      <c r="Z69" s="46"/>
      <c r="AA69" s="46"/>
      <c r="AB69" s="46"/>
      <c r="AC69" s="46"/>
      <c r="AD69" s="46"/>
      <c r="AE69" s="46"/>
      <c r="AF69" s="46"/>
      <c r="AG69" s="46"/>
      <c r="AH69" s="46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</row>
    <row r="70" spans="6:170" s="7" customFormat="1">
      <c r="F70" s="41"/>
      <c r="I70" s="8"/>
      <c r="Z70" s="46"/>
      <c r="AA70" s="46"/>
      <c r="AB70" s="46"/>
      <c r="AC70" s="46"/>
      <c r="AD70" s="46"/>
      <c r="AE70" s="46"/>
      <c r="AF70" s="46"/>
      <c r="AG70" s="46"/>
      <c r="AH70" s="46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</row>
    <row r="71" spans="6:170" s="7" customFormat="1">
      <c r="F71" s="41"/>
      <c r="I71" s="8"/>
      <c r="Z71" s="46"/>
      <c r="AA71" s="46"/>
      <c r="AB71" s="46"/>
      <c r="AC71" s="46"/>
      <c r="AD71" s="46"/>
      <c r="AE71" s="46"/>
      <c r="AF71" s="46"/>
      <c r="AG71" s="46"/>
      <c r="AH71" s="46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</row>
    <row r="72" spans="6:170" s="7" customFormat="1">
      <c r="F72" s="41"/>
      <c r="I72" s="8"/>
      <c r="Z72" s="46"/>
      <c r="AA72" s="46"/>
      <c r="AB72" s="46"/>
      <c r="AC72" s="46"/>
      <c r="AD72" s="46"/>
      <c r="AE72" s="46"/>
      <c r="AF72" s="46"/>
      <c r="AG72" s="46"/>
      <c r="AH72" s="46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</row>
    <row r="73" spans="6:170" s="7" customFormat="1">
      <c r="F73" s="41"/>
      <c r="I73" s="8"/>
      <c r="Z73" s="46"/>
      <c r="AA73" s="46"/>
      <c r="AB73" s="46"/>
      <c r="AC73" s="46"/>
      <c r="AD73" s="46"/>
      <c r="AE73" s="46"/>
      <c r="AF73" s="46"/>
      <c r="AG73" s="46"/>
      <c r="AH73" s="46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</row>
    <row r="74" spans="6:170" s="7" customFormat="1">
      <c r="F74" s="41"/>
      <c r="I74" s="8"/>
      <c r="Z74" s="46"/>
      <c r="AA74" s="46"/>
      <c r="AB74" s="46"/>
      <c r="AC74" s="46"/>
      <c r="AD74" s="46"/>
      <c r="AE74" s="46"/>
      <c r="AF74" s="46"/>
      <c r="AG74" s="46"/>
      <c r="AH74" s="46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</row>
    <row r="75" spans="6:170" s="7" customFormat="1">
      <c r="F75" s="41"/>
      <c r="I75" s="8"/>
      <c r="Z75" s="46"/>
      <c r="AA75" s="46"/>
      <c r="AB75" s="46"/>
      <c r="AC75" s="46"/>
      <c r="AD75" s="46"/>
      <c r="AE75" s="46"/>
      <c r="AF75" s="46"/>
      <c r="AG75" s="46"/>
      <c r="AH75" s="46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</row>
    <row r="76" spans="6:170" s="7" customFormat="1">
      <c r="F76" s="41"/>
      <c r="I76" s="8"/>
      <c r="Z76" s="46"/>
      <c r="AA76" s="46"/>
      <c r="AB76" s="46"/>
      <c r="AC76" s="46"/>
      <c r="AD76" s="46"/>
      <c r="AE76" s="46"/>
      <c r="AF76" s="46"/>
      <c r="AG76" s="46"/>
      <c r="AH76" s="46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</row>
    <row r="77" spans="6:170" s="7" customFormat="1">
      <c r="F77" s="41"/>
      <c r="I77" s="8"/>
      <c r="Z77" s="46"/>
      <c r="AA77" s="46"/>
      <c r="AB77" s="46"/>
      <c r="AC77" s="46"/>
      <c r="AD77" s="46"/>
      <c r="AE77" s="46"/>
      <c r="AF77" s="46"/>
      <c r="AG77" s="46"/>
      <c r="AH77" s="46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</row>
    <row r="78" spans="6:170" s="7" customFormat="1">
      <c r="F78" s="41"/>
      <c r="I78" s="8"/>
      <c r="Z78" s="46"/>
      <c r="AA78" s="46"/>
      <c r="AB78" s="46"/>
      <c r="AC78" s="46"/>
      <c r="AD78" s="46"/>
      <c r="AE78" s="46"/>
      <c r="AF78" s="46"/>
      <c r="AG78" s="46"/>
      <c r="AH78" s="46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</row>
    <row r="79" spans="6:170" s="7" customFormat="1">
      <c r="F79" s="41"/>
      <c r="I79" s="8"/>
      <c r="Z79" s="46"/>
      <c r="AA79" s="46"/>
      <c r="AB79" s="46"/>
      <c r="AC79" s="46"/>
      <c r="AD79" s="46"/>
      <c r="AE79" s="46"/>
      <c r="AF79" s="46"/>
      <c r="AG79" s="46"/>
      <c r="AH79" s="46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</row>
    <row r="80" spans="6:170" s="7" customFormat="1">
      <c r="F80" s="41"/>
      <c r="I80" s="8"/>
      <c r="Z80" s="46"/>
      <c r="AA80" s="46"/>
      <c r="AB80" s="46"/>
      <c r="AC80" s="46"/>
      <c r="AD80" s="46"/>
      <c r="AE80" s="46"/>
      <c r="AF80" s="46"/>
      <c r="AG80" s="46"/>
      <c r="AH80" s="46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</row>
    <row r="81" spans="6:170" s="7" customFormat="1">
      <c r="F81" s="41"/>
      <c r="I81" s="8"/>
      <c r="Z81" s="46"/>
      <c r="AA81" s="46"/>
      <c r="AB81" s="46"/>
      <c r="AC81" s="46"/>
      <c r="AD81" s="46"/>
      <c r="AE81" s="46"/>
      <c r="AF81" s="46"/>
      <c r="AG81" s="46"/>
      <c r="AH81" s="46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</row>
    <row r="82" spans="6:170" s="7" customFormat="1">
      <c r="F82" s="41"/>
      <c r="I82" s="8"/>
      <c r="Z82" s="46"/>
      <c r="AA82" s="46"/>
      <c r="AB82" s="46"/>
      <c r="AC82" s="46"/>
      <c r="AD82" s="46"/>
      <c r="AE82" s="46"/>
      <c r="AF82" s="46"/>
      <c r="AG82" s="46"/>
      <c r="AH82" s="46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</row>
    <row r="83" spans="6:170" s="7" customFormat="1">
      <c r="F83" s="41"/>
      <c r="I83" s="8"/>
      <c r="Z83" s="46"/>
      <c r="AA83" s="46"/>
      <c r="AB83" s="46"/>
      <c r="AC83" s="46"/>
      <c r="AD83" s="46"/>
      <c r="AE83" s="46"/>
      <c r="AF83" s="46"/>
      <c r="AG83" s="46"/>
      <c r="AH83" s="46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</row>
    <row r="84" spans="6:170" s="7" customFormat="1">
      <c r="F84" s="41"/>
      <c r="I84" s="8"/>
      <c r="Z84" s="46"/>
      <c r="AA84" s="46"/>
      <c r="AB84" s="46"/>
      <c r="AC84" s="46"/>
      <c r="AD84" s="46"/>
      <c r="AE84" s="46"/>
      <c r="AF84" s="46"/>
      <c r="AG84" s="46"/>
      <c r="AH84" s="46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</row>
    <row r="85" spans="6:170" s="7" customFormat="1">
      <c r="F85" s="41"/>
      <c r="I85" s="8"/>
      <c r="Z85" s="46"/>
      <c r="AA85" s="46"/>
      <c r="AB85" s="46"/>
      <c r="AC85" s="46"/>
      <c r="AD85" s="46"/>
      <c r="AE85" s="46"/>
      <c r="AF85" s="46"/>
      <c r="AG85" s="46"/>
      <c r="AH85" s="46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</row>
    <row r="86" spans="6:170" s="7" customFormat="1">
      <c r="F86" s="41"/>
      <c r="I86" s="8"/>
      <c r="Z86" s="46"/>
      <c r="AA86" s="46"/>
      <c r="AB86" s="46"/>
      <c r="AC86" s="46"/>
      <c r="AD86" s="46"/>
      <c r="AE86" s="46"/>
      <c r="AF86" s="46"/>
      <c r="AG86" s="46"/>
      <c r="AH86" s="46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</row>
    <row r="87" spans="6:170" s="7" customFormat="1">
      <c r="F87" s="41"/>
      <c r="I87" s="8"/>
      <c r="Z87" s="46"/>
      <c r="AA87" s="46"/>
      <c r="AB87" s="46"/>
      <c r="AC87" s="46"/>
      <c r="AD87" s="46"/>
      <c r="AE87" s="46"/>
      <c r="AF87" s="46"/>
      <c r="AG87" s="46"/>
      <c r="AH87" s="46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</row>
    <row r="88" spans="6:170" s="7" customFormat="1">
      <c r="F88" s="41"/>
      <c r="I88" s="8"/>
      <c r="Z88" s="46"/>
      <c r="AA88" s="46"/>
      <c r="AB88" s="46"/>
      <c r="AC88" s="46"/>
      <c r="AD88" s="46"/>
      <c r="AE88" s="46"/>
      <c r="AF88" s="46"/>
      <c r="AG88" s="46"/>
      <c r="AH88" s="46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</row>
    <row r="89" spans="6:170" s="7" customFormat="1">
      <c r="F89" s="41"/>
      <c r="I89" s="8"/>
      <c r="Z89" s="46"/>
      <c r="AA89" s="46"/>
      <c r="AB89" s="46"/>
      <c r="AC89" s="46"/>
      <c r="AD89" s="46"/>
      <c r="AE89" s="46"/>
      <c r="AF89" s="46"/>
      <c r="AG89" s="46"/>
      <c r="AH89" s="46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</row>
    <row r="90" spans="6:170" s="7" customFormat="1">
      <c r="F90" s="41"/>
      <c r="I90" s="8"/>
      <c r="Z90" s="46"/>
      <c r="AA90" s="46"/>
      <c r="AB90" s="46"/>
      <c r="AC90" s="46"/>
      <c r="AD90" s="46"/>
      <c r="AE90" s="46"/>
      <c r="AF90" s="46"/>
      <c r="AG90" s="46"/>
      <c r="AH90" s="46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</row>
    <row r="91" spans="6:170" s="7" customFormat="1">
      <c r="F91" s="41"/>
      <c r="I91" s="8"/>
      <c r="Z91" s="46"/>
      <c r="AA91" s="46"/>
      <c r="AB91" s="46"/>
      <c r="AC91" s="46"/>
      <c r="AD91" s="46"/>
      <c r="AE91" s="46"/>
      <c r="AF91" s="46"/>
      <c r="AG91" s="46"/>
      <c r="AH91" s="46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</row>
    <row r="92" spans="6:170" s="7" customFormat="1">
      <c r="F92" s="41"/>
      <c r="I92" s="8"/>
      <c r="Z92" s="46"/>
      <c r="AA92" s="46"/>
      <c r="AB92" s="46"/>
      <c r="AC92" s="46"/>
      <c r="AD92" s="46"/>
      <c r="AE92" s="46"/>
      <c r="AF92" s="46"/>
      <c r="AG92" s="46"/>
      <c r="AH92" s="46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/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/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</row>
    <row r="93" spans="6:170" s="7" customFormat="1">
      <c r="F93" s="41"/>
      <c r="I93" s="8"/>
      <c r="Z93" s="46"/>
      <c r="AA93" s="46"/>
      <c r="AB93" s="46"/>
      <c r="AC93" s="46"/>
      <c r="AD93" s="46"/>
      <c r="AE93" s="46"/>
      <c r="AF93" s="46"/>
      <c r="AG93" s="46"/>
      <c r="AH93" s="46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</row>
    <row r="94" spans="6:170" s="7" customFormat="1">
      <c r="F94" s="41"/>
      <c r="I94" s="8"/>
      <c r="Z94" s="46"/>
      <c r="AA94" s="46"/>
      <c r="AB94" s="46"/>
      <c r="AC94" s="46"/>
      <c r="AD94" s="46"/>
      <c r="AE94" s="46"/>
      <c r="AF94" s="46"/>
      <c r="AG94" s="46"/>
      <c r="AH94" s="46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</row>
    <row r="95" spans="6:170" s="7" customFormat="1">
      <c r="F95" s="41"/>
      <c r="I95" s="8"/>
      <c r="Z95" s="46"/>
      <c r="AA95" s="46"/>
      <c r="AB95" s="46"/>
      <c r="AC95" s="46"/>
      <c r="AD95" s="46"/>
      <c r="AE95" s="46"/>
      <c r="AF95" s="46"/>
      <c r="AG95" s="46"/>
      <c r="AH95" s="46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</row>
    <row r="96" spans="6:170" s="7" customFormat="1">
      <c r="F96" s="41"/>
      <c r="I96" s="8"/>
      <c r="Z96" s="46"/>
      <c r="AA96" s="46"/>
      <c r="AB96" s="46"/>
      <c r="AC96" s="46"/>
      <c r="AD96" s="46"/>
      <c r="AE96" s="46"/>
      <c r="AF96" s="46"/>
      <c r="AG96" s="46"/>
      <c r="AH96" s="46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</row>
  </sheetData>
  <mergeCells count="39">
    <mergeCell ref="A4:S4"/>
    <mergeCell ref="CW1:CY1"/>
    <mergeCell ref="Z1:AL1"/>
    <mergeCell ref="AM1:CD1"/>
    <mergeCell ref="CE1:CM1"/>
    <mergeCell ref="CN1:CS1"/>
    <mergeCell ref="CT1:CV1"/>
    <mergeCell ref="A1:W1"/>
    <mergeCell ref="J7:K7"/>
    <mergeCell ref="J8:K8"/>
    <mergeCell ref="J9:K9"/>
    <mergeCell ref="J10:K10"/>
    <mergeCell ref="J5:K5"/>
    <mergeCell ref="J6:K6"/>
    <mergeCell ref="J2:J3"/>
    <mergeCell ref="L2:L3"/>
    <mergeCell ref="M2:M3"/>
    <mergeCell ref="N2:N3"/>
    <mergeCell ref="O2:O3"/>
    <mergeCell ref="K2:K3"/>
    <mergeCell ref="P2:P3"/>
    <mergeCell ref="A2:A3"/>
    <mergeCell ref="B2:B3"/>
    <mergeCell ref="H2:H3"/>
    <mergeCell ref="I2:I3"/>
    <mergeCell ref="X1:Y1"/>
    <mergeCell ref="C2:C3"/>
    <mergeCell ref="D2:D3"/>
    <mergeCell ref="E2:E3"/>
    <mergeCell ref="F2:F3"/>
    <mergeCell ref="G2:G3"/>
    <mergeCell ref="X2:X3"/>
    <mergeCell ref="Y2:Y3"/>
    <mergeCell ref="R2:R3"/>
    <mergeCell ref="S2:S3"/>
    <mergeCell ref="T2:T3"/>
    <mergeCell ref="U2:U3"/>
    <mergeCell ref="V2:V3"/>
    <mergeCell ref="W2:W3"/>
  </mergeCells>
  <printOptions horizontalCentered="1"/>
  <pageMargins left="0" right="0" top="0" bottom="0" header="0.3" footer="0.3"/>
  <pageSetup paperSize="9" scale="1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C7BAB-3DFE-4A47-9435-2A55975DA0FA}">
  <sheetPr>
    <tabColor rgb="FF00B050"/>
    <pageSetUpPr fitToPage="1"/>
  </sheetPr>
  <dimension ref="A1:FN87"/>
  <sheetViews>
    <sheetView view="pageBreakPreview" zoomScale="85" zoomScaleNormal="85" zoomScaleSheetLayoutView="85" workbookViewId="0">
      <pane ySplit="10" topLeftCell="A11" activePane="bottomLeft" state="frozen"/>
      <selection pane="bottomLeft" activeCell="L14" sqref="L14"/>
    </sheetView>
  </sheetViews>
  <sheetFormatPr defaultColWidth="9.140625" defaultRowHeight="12"/>
  <cols>
    <col min="1" max="1" width="26" style="7" customWidth="1"/>
    <col min="2" max="2" width="8.5703125" style="7" bestFit="1" customWidth="1"/>
    <col min="3" max="3" width="23.42578125" style="7" bestFit="1" customWidth="1"/>
    <col min="4" max="5" width="11.140625" style="7" bestFit="1" customWidth="1"/>
    <col min="6" max="6" width="7.7109375" style="41" customWidth="1"/>
    <col min="7" max="8" width="11.140625" style="7" bestFit="1" customWidth="1"/>
    <col min="9" max="9" width="9.28515625" style="8" customWidth="1"/>
    <col min="10" max="10" width="3.7109375" style="7" customWidth="1"/>
    <col min="11" max="11" width="20.42578125" style="7" bestFit="1" customWidth="1"/>
    <col min="12" max="12" width="26.42578125" style="7" customWidth="1"/>
    <col min="13" max="13" width="21.7109375" style="7" bestFit="1" customWidth="1"/>
    <col min="14" max="14" width="20.140625" style="7" bestFit="1" customWidth="1"/>
    <col min="15" max="17" width="10.7109375" style="7" customWidth="1"/>
    <col min="18" max="18" width="9" style="7" customWidth="1"/>
    <col min="19" max="19" width="14.5703125" style="7" bestFit="1" customWidth="1"/>
    <col min="20" max="20" width="7.7109375" style="7" bestFit="1" customWidth="1"/>
    <col min="21" max="21" width="9" style="7" customWidth="1"/>
    <col min="22" max="22" width="3.42578125" style="7" bestFit="1" customWidth="1"/>
    <col min="23" max="23" width="4" style="7" bestFit="1" customWidth="1"/>
    <col min="24" max="24" width="8.85546875" style="7" bestFit="1" customWidth="1"/>
    <col min="25" max="25" width="3.28515625" style="7" bestFit="1" customWidth="1"/>
    <col min="26" max="34" width="5.140625" style="44" customWidth="1"/>
    <col min="35" max="35" width="7" style="7" bestFit="1" customWidth="1"/>
    <col min="36" max="36" width="6.5703125" style="7" bestFit="1" customWidth="1"/>
    <col min="37" max="40" width="6" style="7" bestFit="1" customWidth="1"/>
    <col min="41" max="83" width="6" style="7" customWidth="1"/>
    <col min="84" max="84" width="6" style="7" bestFit="1" customWidth="1"/>
    <col min="85" max="90" width="6" style="7" customWidth="1"/>
    <col min="91" max="92" width="6" style="7" bestFit="1" customWidth="1"/>
    <col min="93" max="98" width="6" style="7" customWidth="1"/>
    <col min="99" max="99" width="6" style="7" bestFit="1" customWidth="1"/>
    <col min="100" max="101" width="7" style="7" bestFit="1" customWidth="1"/>
    <col min="102" max="103" width="6" style="7" bestFit="1" customWidth="1"/>
    <col min="104" max="104" width="7" style="7" bestFit="1" customWidth="1"/>
    <col min="105" max="16384" width="9.140625" style="9"/>
  </cols>
  <sheetData>
    <row r="1" spans="1:169" s="1" customFormat="1" ht="28.5" customHeight="1" thickBot="1">
      <c r="A1" s="131" t="s">
        <v>0</v>
      </c>
      <c r="B1" s="132"/>
      <c r="C1" s="132"/>
      <c r="D1" s="132"/>
      <c r="E1" s="132"/>
      <c r="F1" s="132"/>
      <c r="G1" s="132"/>
      <c r="H1" s="132"/>
      <c r="I1" s="132"/>
      <c r="J1" s="132"/>
      <c r="K1" s="132"/>
      <c r="L1" s="132"/>
      <c r="M1" s="132"/>
      <c r="N1" s="132"/>
      <c r="O1" s="132"/>
      <c r="P1" s="132"/>
      <c r="Q1" s="132"/>
      <c r="R1" s="132"/>
      <c r="S1" s="132"/>
      <c r="T1" s="132"/>
      <c r="U1" s="132"/>
      <c r="V1" s="132"/>
      <c r="W1" s="133"/>
      <c r="X1" s="121" t="s">
        <v>1</v>
      </c>
      <c r="Y1" s="122"/>
      <c r="Z1" s="148" t="s">
        <v>162</v>
      </c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50"/>
      <c r="AM1" s="148" t="s">
        <v>163</v>
      </c>
      <c r="AN1" s="149"/>
      <c r="AO1" s="149"/>
      <c r="AP1" s="149"/>
      <c r="AQ1" s="149"/>
      <c r="AR1" s="149"/>
      <c r="AS1" s="149"/>
      <c r="AT1" s="149"/>
      <c r="AU1" s="149"/>
      <c r="AV1" s="149"/>
      <c r="AW1" s="149"/>
      <c r="AX1" s="149"/>
      <c r="AY1" s="149"/>
      <c r="AZ1" s="149"/>
      <c r="BA1" s="149"/>
      <c r="BB1" s="149"/>
      <c r="BC1" s="149"/>
      <c r="BD1" s="149"/>
      <c r="BE1" s="149"/>
      <c r="BF1" s="149"/>
      <c r="BG1" s="149"/>
      <c r="BH1" s="149"/>
      <c r="BI1" s="149"/>
      <c r="BJ1" s="149"/>
      <c r="BK1" s="149"/>
      <c r="BL1" s="149"/>
      <c r="BM1" s="149"/>
      <c r="BN1" s="149"/>
      <c r="BO1" s="149"/>
      <c r="BP1" s="149"/>
      <c r="BQ1" s="149"/>
      <c r="BR1" s="149"/>
      <c r="BS1" s="149"/>
      <c r="BT1" s="149"/>
      <c r="BU1" s="149"/>
      <c r="BV1" s="149"/>
      <c r="BW1" s="149"/>
      <c r="BX1" s="149"/>
      <c r="BY1" s="149"/>
      <c r="BZ1" s="149"/>
      <c r="CA1" s="149"/>
      <c r="CB1" s="149"/>
      <c r="CC1" s="149"/>
      <c r="CD1" s="149"/>
      <c r="CE1" s="148" t="s">
        <v>126</v>
      </c>
      <c r="CF1" s="149"/>
      <c r="CG1" s="149"/>
      <c r="CH1" s="149"/>
      <c r="CI1" s="149"/>
      <c r="CJ1" s="149"/>
      <c r="CK1" s="149"/>
      <c r="CL1" s="149"/>
      <c r="CM1" s="150"/>
      <c r="CN1" s="148" t="s">
        <v>136</v>
      </c>
      <c r="CO1" s="149"/>
      <c r="CP1" s="149"/>
      <c r="CQ1" s="149"/>
      <c r="CR1" s="149"/>
      <c r="CS1" s="150"/>
      <c r="CT1" s="148" t="s">
        <v>143</v>
      </c>
      <c r="CU1" s="149"/>
      <c r="CV1" s="150"/>
      <c r="CW1" s="148" t="s">
        <v>164</v>
      </c>
      <c r="CX1" s="149"/>
      <c r="CY1" s="150"/>
    </row>
    <row r="2" spans="1:169" s="1" customFormat="1" ht="140.44999999999999" customHeight="1" thickBot="1">
      <c r="A2" s="119" t="s">
        <v>2</v>
      </c>
      <c r="B2" s="119" t="s">
        <v>3</v>
      </c>
      <c r="C2" s="119" t="s">
        <v>4</v>
      </c>
      <c r="D2" s="119" t="s">
        <v>23</v>
      </c>
      <c r="E2" s="119" t="s">
        <v>24</v>
      </c>
      <c r="F2" s="119" t="s">
        <v>7</v>
      </c>
      <c r="G2" s="119" t="s">
        <v>5</v>
      </c>
      <c r="H2" s="119" t="s">
        <v>6</v>
      </c>
      <c r="I2" s="119" t="s">
        <v>7</v>
      </c>
      <c r="J2" s="119" t="s">
        <v>8</v>
      </c>
      <c r="K2" s="119" t="s">
        <v>26</v>
      </c>
      <c r="L2" s="119" t="s">
        <v>9</v>
      </c>
      <c r="M2" s="119" t="s">
        <v>10</v>
      </c>
      <c r="N2" s="119" t="s">
        <v>11</v>
      </c>
      <c r="O2" s="119" t="s">
        <v>12</v>
      </c>
      <c r="P2" s="146" t="s">
        <v>147</v>
      </c>
      <c r="Q2" s="63" t="s">
        <v>149</v>
      </c>
      <c r="R2" s="119" t="s">
        <v>148</v>
      </c>
      <c r="S2" s="119" t="s">
        <v>13</v>
      </c>
      <c r="T2" s="119" t="s">
        <v>25</v>
      </c>
      <c r="U2" s="119" t="s">
        <v>14</v>
      </c>
      <c r="V2" s="127" t="s">
        <v>15</v>
      </c>
      <c r="W2" s="129" t="s">
        <v>68</v>
      </c>
      <c r="X2" s="123" t="s">
        <v>17</v>
      </c>
      <c r="Y2" s="125" t="s">
        <v>18</v>
      </c>
      <c r="Z2" s="93" t="s">
        <v>69</v>
      </c>
      <c r="AA2" s="94" t="s">
        <v>70</v>
      </c>
      <c r="AB2" s="94" t="s">
        <v>71</v>
      </c>
      <c r="AC2" s="94" t="s">
        <v>72</v>
      </c>
      <c r="AD2" s="94" t="s">
        <v>73</v>
      </c>
      <c r="AE2" s="95" t="s">
        <v>74</v>
      </c>
      <c r="AF2" s="95" t="s">
        <v>75</v>
      </c>
      <c r="AG2" s="95" t="s">
        <v>76</v>
      </c>
      <c r="AH2" s="95" t="s">
        <v>77</v>
      </c>
      <c r="AI2" s="95" t="s">
        <v>78</v>
      </c>
      <c r="AJ2" s="95" t="s">
        <v>79</v>
      </c>
      <c r="AK2" s="95" t="s">
        <v>80</v>
      </c>
      <c r="AL2" s="96" t="s">
        <v>81</v>
      </c>
      <c r="AM2" s="93" t="s">
        <v>82</v>
      </c>
      <c r="AN2" s="94" t="s">
        <v>83</v>
      </c>
      <c r="AO2" s="94" t="s">
        <v>84</v>
      </c>
      <c r="AP2" s="94" t="s">
        <v>85</v>
      </c>
      <c r="AQ2" s="94" t="s">
        <v>86</v>
      </c>
      <c r="AR2" s="94" t="s">
        <v>87</v>
      </c>
      <c r="AS2" s="94" t="s">
        <v>88</v>
      </c>
      <c r="AT2" s="94" t="s">
        <v>89</v>
      </c>
      <c r="AU2" s="94" t="s">
        <v>90</v>
      </c>
      <c r="AV2" s="94" t="s">
        <v>91</v>
      </c>
      <c r="AW2" s="94" t="s">
        <v>92</v>
      </c>
      <c r="AX2" s="94" t="s">
        <v>93</v>
      </c>
      <c r="AY2" s="94" t="s">
        <v>94</v>
      </c>
      <c r="AZ2" s="94" t="s">
        <v>95</v>
      </c>
      <c r="BA2" s="94" t="s">
        <v>96</v>
      </c>
      <c r="BB2" s="94" t="s">
        <v>97</v>
      </c>
      <c r="BC2" s="94" t="s">
        <v>98</v>
      </c>
      <c r="BD2" s="94" t="s">
        <v>99</v>
      </c>
      <c r="BE2" s="94" t="s">
        <v>100</v>
      </c>
      <c r="BF2" s="94" t="s">
        <v>101</v>
      </c>
      <c r="BG2" s="94" t="s">
        <v>102</v>
      </c>
      <c r="BH2" s="94" t="s">
        <v>103</v>
      </c>
      <c r="BI2" s="94" t="s">
        <v>104</v>
      </c>
      <c r="BJ2" s="94" t="s">
        <v>105</v>
      </c>
      <c r="BK2" s="94" t="s">
        <v>106</v>
      </c>
      <c r="BL2" s="94" t="s">
        <v>107</v>
      </c>
      <c r="BM2" s="94" t="s">
        <v>108</v>
      </c>
      <c r="BN2" s="94" t="s">
        <v>109</v>
      </c>
      <c r="BO2" s="94" t="s">
        <v>110</v>
      </c>
      <c r="BP2" s="94" t="s">
        <v>111</v>
      </c>
      <c r="BQ2" s="94" t="s">
        <v>112</v>
      </c>
      <c r="BR2" s="94" t="s">
        <v>113</v>
      </c>
      <c r="BS2" s="94" t="s">
        <v>114</v>
      </c>
      <c r="BT2" s="94" t="s">
        <v>115</v>
      </c>
      <c r="BU2" s="94" t="s">
        <v>116</v>
      </c>
      <c r="BV2" s="94" t="s">
        <v>117</v>
      </c>
      <c r="BW2" s="94" t="s">
        <v>118</v>
      </c>
      <c r="BX2" s="94" t="s">
        <v>119</v>
      </c>
      <c r="BY2" s="94" t="s">
        <v>120</v>
      </c>
      <c r="BZ2" s="94" t="s">
        <v>121</v>
      </c>
      <c r="CA2" s="94" t="s">
        <v>122</v>
      </c>
      <c r="CB2" s="94" t="s">
        <v>123</v>
      </c>
      <c r="CC2" s="94" t="s">
        <v>124</v>
      </c>
      <c r="CD2" s="94" t="s">
        <v>125</v>
      </c>
      <c r="CE2" s="93" t="s">
        <v>127</v>
      </c>
      <c r="CF2" s="94" t="s">
        <v>128</v>
      </c>
      <c r="CG2" s="94" t="s">
        <v>129</v>
      </c>
      <c r="CH2" s="94" t="s">
        <v>130</v>
      </c>
      <c r="CI2" s="94" t="s">
        <v>131</v>
      </c>
      <c r="CJ2" s="94" t="s">
        <v>132</v>
      </c>
      <c r="CK2" s="94" t="s">
        <v>133</v>
      </c>
      <c r="CL2" s="94" t="s">
        <v>134</v>
      </c>
      <c r="CM2" s="96" t="s">
        <v>135</v>
      </c>
      <c r="CN2" s="97" t="s">
        <v>137</v>
      </c>
      <c r="CO2" s="98" t="s">
        <v>138</v>
      </c>
      <c r="CP2" s="99" t="s">
        <v>139</v>
      </c>
      <c r="CQ2" s="99" t="s">
        <v>140</v>
      </c>
      <c r="CR2" s="99" t="s">
        <v>141</v>
      </c>
      <c r="CS2" s="100" t="s">
        <v>142</v>
      </c>
      <c r="CT2" s="101" t="s">
        <v>144</v>
      </c>
      <c r="CU2" s="102" t="s">
        <v>145</v>
      </c>
      <c r="CV2" s="103" t="s">
        <v>146</v>
      </c>
      <c r="CW2" s="104" t="s">
        <v>27</v>
      </c>
      <c r="CX2" s="102" t="s">
        <v>28</v>
      </c>
      <c r="CY2" s="103" t="s">
        <v>29</v>
      </c>
    </row>
    <row r="3" spans="1:169" s="1" customFormat="1" ht="21" hidden="1" customHeight="1" thickBot="1">
      <c r="A3" s="120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47"/>
      <c r="Q3" s="62"/>
      <c r="R3" s="120"/>
      <c r="S3" s="120"/>
      <c r="T3" s="120"/>
      <c r="U3" s="120"/>
      <c r="V3" s="128"/>
      <c r="W3" s="130"/>
      <c r="X3" s="124"/>
      <c r="Y3" s="126"/>
      <c r="Z3" s="47" t="e">
        <f>Z4/$W$4</f>
        <v>#DIV/0!</v>
      </c>
      <c r="AA3" s="47" t="e">
        <f t="shared" ref="AA3:AC3" si="0">AA4/$W$4</f>
        <v>#DIV/0!</v>
      </c>
      <c r="AB3" s="47" t="e">
        <f t="shared" si="0"/>
        <v>#DIV/0!</v>
      </c>
      <c r="AC3" s="47" t="e">
        <f t="shared" si="0"/>
        <v>#DIV/0!</v>
      </c>
      <c r="AD3" s="47" t="e">
        <f t="shared" ref="AD3" si="1">AD4/$W$4</f>
        <v>#DIV/0!</v>
      </c>
      <c r="AE3" s="47" t="e">
        <f t="shared" ref="AE3:AF3" si="2">AE4/$W$4</f>
        <v>#DIV/0!</v>
      </c>
      <c r="AF3" s="47" t="e">
        <f t="shared" si="2"/>
        <v>#DIV/0!</v>
      </c>
      <c r="AG3" s="47" t="e">
        <f t="shared" ref="AG3" si="3">AG4/$W$4</f>
        <v>#DIV/0!</v>
      </c>
      <c r="AH3" s="47" t="e">
        <f t="shared" ref="AH3:AI3" si="4">AH4/$W$4</f>
        <v>#DIV/0!</v>
      </c>
      <c r="AI3" s="47" t="e">
        <f t="shared" si="4"/>
        <v>#DIV/0!</v>
      </c>
      <c r="AJ3" s="47" t="e">
        <f t="shared" ref="AJ3" si="5">AJ4/$W$4</f>
        <v>#DIV/0!</v>
      </c>
      <c r="AK3" s="47" t="e">
        <f t="shared" ref="AK3:AL3" si="6">AK4/$W$4</f>
        <v>#DIV/0!</v>
      </c>
      <c r="AL3" s="47" t="e">
        <f t="shared" si="6"/>
        <v>#DIV/0!</v>
      </c>
      <c r="AM3" s="47" t="e">
        <f t="shared" ref="AM3" si="7">AM4/$W$4</f>
        <v>#DIV/0!</v>
      </c>
      <c r="AN3" s="47" t="e">
        <f t="shared" ref="AN3:AO3" si="8">AN4/$W$4</f>
        <v>#DIV/0!</v>
      </c>
      <c r="AO3" s="47" t="e">
        <f t="shared" si="8"/>
        <v>#DIV/0!</v>
      </c>
      <c r="AP3" s="47" t="e">
        <f t="shared" ref="AP3" si="9">AP4/$W$4</f>
        <v>#DIV/0!</v>
      </c>
      <c r="AQ3" s="47" t="e">
        <f t="shared" ref="AQ3:AR3" si="10">AQ4/$W$4</f>
        <v>#DIV/0!</v>
      </c>
      <c r="AR3" s="47" t="e">
        <f t="shared" si="10"/>
        <v>#DIV/0!</v>
      </c>
      <c r="AS3" s="47" t="e">
        <f t="shared" ref="AS3" si="11">AS4/$W$4</f>
        <v>#DIV/0!</v>
      </c>
      <c r="AT3" s="47" t="e">
        <f t="shared" ref="AT3:AU3" si="12">AT4/$W$4</f>
        <v>#DIV/0!</v>
      </c>
      <c r="AU3" s="47" t="e">
        <f t="shared" si="12"/>
        <v>#DIV/0!</v>
      </c>
      <c r="AV3" s="47" t="e">
        <f t="shared" ref="AV3" si="13">AV4/$W$4</f>
        <v>#DIV/0!</v>
      </c>
      <c r="AW3" s="47" t="e">
        <f t="shared" ref="AW3:AX3" si="14">AW4/$W$4</f>
        <v>#DIV/0!</v>
      </c>
      <c r="AX3" s="47" t="e">
        <f t="shared" si="14"/>
        <v>#DIV/0!</v>
      </c>
      <c r="AY3" s="47" t="e">
        <f t="shared" ref="AY3" si="15">AY4/$W$4</f>
        <v>#DIV/0!</v>
      </c>
      <c r="AZ3" s="47" t="e">
        <f t="shared" ref="AZ3:BA3" si="16">AZ4/$W$4</f>
        <v>#DIV/0!</v>
      </c>
      <c r="BA3" s="47" t="e">
        <f t="shared" si="16"/>
        <v>#DIV/0!</v>
      </c>
      <c r="BB3" s="47" t="e">
        <f t="shared" ref="BB3" si="17">BB4/$W$4</f>
        <v>#DIV/0!</v>
      </c>
      <c r="BC3" s="47" t="e">
        <f t="shared" ref="BC3:BD3" si="18">BC4/$W$4</f>
        <v>#DIV/0!</v>
      </c>
      <c r="BD3" s="47" t="e">
        <f t="shared" si="18"/>
        <v>#DIV/0!</v>
      </c>
      <c r="BE3" s="47" t="e">
        <f t="shared" ref="BE3" si="19">BE4/$W$4</f>
        <v>#DIV/0!</v>
      </c>
      <c r="BF3" s="47" t="e">
        <f t="shared" ref="BF3:BG3" si="20">BF4/$W$4</f>
        <v>#DIV/0!</v>
      </c>
      <c r="BG3" s="47" t="e">
        <f t="shared" si="20"/>
        <v>#DIV/0!</v>
      </c>
      <c r="BH3" s="47" t="e">
        <f t="shared" ref="BH3" si="21">BH4/$W$4</f>
        <v>#DIV/0!</v>
      </c>
      <c r="BI3" s="47" t="e">
        <f t="shared" ref="BI3:BJ3" si="22">BI4/$W$4</f>
        <v>#DIV/0!</v>
      </c>
      <c r="BJ3" s="47" t="e">
        <f t="shared" si="22"/>
        <v>#DIV/0!</v>
      </c>
      <c r="BK3" s="47" t="e">
        <f t="shared" ref="BK3" si="23">BK4/$W$4</f>
        <v>#DIV/0!</v>
      </c>
      <c r="BL3" s="47" t="e">
        <f t="shared" ref="BL3:BM3" si="24">BL4/$W$4</f>
        <v>#DIV/0!</v>
      </c>
      <c r="BM3" s="47" t="e">
        <f t="shared" si="24"/>
        <v>#DIV/0!</v>
      </c>
      <c r="BN3" s="47" t="e">
        <f t="shared" ref="BN3" si="25">BN4/$W$4</f>
        <v>#DIV/0!</v>
      </c>
      <c r="BO3" s="47" t="e">
        <f t="shared" ref="BO3:BP3" si="26">BO4/$W$4</f>
        <v>#DIV/0!</v>
      </c>
      <c r="BP3" s="47" t="e">
        <f t="shared" si="26"/>
        <v>#DIV/0!</v>
      </c>
      <c r="BQ3" s="47" t="e">
        <f t="shared" ref="BQ3" si="27">BQ4/$W$4</f>
        <v>#DIV/0!</v>
      </c>
      <c r="BR3" s="47" t="e">
        <f t="shared" ref="BR3:BS3" si="28">BR4/$W$4</f>
        <v>#DIV/0!</v>
      </c>
      <c r="BS3" s="47" t="e">
        <f t="shared" si="28"/>
        <v>#DIV/0!</v>
      </c>
      <c r="BT3" s="47" t="e">
        <f t="shared" ref="BT3" si="29">BT4/$W$4</f>
        <v>#DIV/0!</v>
      </c>
      <c r="BU3" s="47" t="e">
        <f t="shared" ref="BU3:BV3" si="30">BU4/$W$4</f>
        <v>#DIV/0!</v>
      </c>
      <c r="BV3" s="47" t="e">
        <f t="shared" si="30"/>
        <v>#DIV/0!</v>
      </c>
      <c r="BW3" s="47" t="e">
        <f t="shared" ref="BW3" si="31">BW4/$W$4</f>
        <v>#DIV/0!</v>
      </c>
      <c r="BX3" s="47" t="e">
        <f t="shared" ref="BX3:BY3" si="32">BX4/$W$4</f>
        <v>#DIV/0!</v>
      </c>
      <c r="BY3" s="47" t="e">
        <f t="shared" si="32"/>
        <v>#DIV/0!</v>
      </c>
      <c r="BZ3" s="47" t="e">
        <f t="shared" ref="BZ3" si="33">BZ4/$W$4</f>
        <v>#DIV/0!</v>
      </c>
      <c r="CA3" s="47" t="e">
        <f t="shared" ref="CA3:CB3" si="34">CA4/$W$4</f>
        <v>#DIV/0!</v>
      </c>
      <c r="CB3" s="47" t="e">
        <f t="shared" si="34"/>
        <v>#DIV/0!</v>
      </c>
      <c r="CC3" s="47" t="e">
        <f t="shared" ref="CC3" si="35">CC4/$W$4</f>
        <v>#DIV/0!</v>
      </c>
      <c r="CD3" s="47" t="e">
        <f t="shared" ref="CD3:CE3" si="36">CD4/$W$4</f>
        <v>#DIV/0!</v>
      </c>
      <c r="CE3" s="47" t="e">
        <f t="shared" si="36"/>
        <v>#DIV/0!</v>
      </c>
      <c r="CF3" s="47" t="e">
        <f t="shared" ref="CF3" si="37">CF4/$W$4</f>
        <v>#DIV/0!</v>
      </c>
      <c r="CG3" s="47" t="e">
        <f t="shared" ref="CG3:CH3" si="38">CG4/$W$4</f>
        <v>#DIV/0!</v>
      </c>
      <c r="CH3" s="47" t="e">
        <f t="shared" si="38"/>
        <v>#DIV/0!</v>
      </c>
      <c r="CI3" s="47" t="e">
        <f t="shared" ref="CI3" si="39">CI4/$W$4</f>
        <v>#DIV/0!</v>
      </c>
      <c r="CJ3" s="47" t="e">
        <f t="shared" ref="CJ3:CK3" si="40">CJ4/$W$4</f>
        <v>#DIV/0!</v>
      </c>
      <c r="CK3" s="47" t="e">
        <f t="shared" si="40"/>
        <v>#DIV/0!</v>
      </c>
      <c r="CL3" s="47" t="e">
        <f t="shared" ref="CL3" si="41">CL4/$W$4</f>
        <v>#DIV/0!</v>
      </c>
      <c r="CM3" s="47" t="e">
        <f t="shared" ref="CM3:CN3" si="42">CM4/$W$4</f>
        <v>#DIV/0!</v>
      </c>
      <c r="CN3" s="47" t="e">
        <f t="shared" si="42"/>
        <v>#DIV/0!</v>
      </c>
      <c r="CO3" s="47" t="e">
        <f t="shared" ref="CO3" si="43">CO4/$W$4</f>
        <v>#DIV/0!</v>
      </c>
      <c r="CP3" s="47" t="e">
        <f t="shared" ref="CP3:CQ3" si="44">CP4/$W$4</f>
        <v>#DIV/0!</v>
      </c>
      <c r="CQ3" s="47" t="e">
        <f t="shared" si="44"/>
        <v>#DIV/0!</v>
      </c>
      <c r="CR3" s="47" t="e">
        <f t="shared" ref="CR3" si="45">CR4/$W$4</f>
        <v>#DIV/0!</v>
      </c>
      <c r="CS3" s="47" t="e">
        <f t="shared" ref="CS3:CT3" si="46">CS4/$W$4</f>
        <v>#DIV/0!</v>
      </c>
      <c r="CT3" s="47" t="e">
        <f t="shared" si="46"/>
        <v>#DIV/0!</v>
      </c>
      <c r="CU3" s="47" t="e">
        <f t="shared" ref="CU3" si="47">CU4/$W$4</f>
        <v>#DIV/0!</v>
      </c>
      <c r="CV3" s="47" t="e">
        <f t="shared" ref="CV3:CW3" si="48">CV4/$W$4</f>
        <v>#DIV/0!</v>
      </c>
      <c r="CW3" s="47" t="e">
        <f t="shared" si="48"/>
        <v>#DIV/0!</v>
      </c>
      <c r="CX3" s="47" t="e">
        <f t="shared" ref="CX3" si="49">CX4/$W$4</f>
        <v>#DIV/0!</v>
      </c>
      <c r="CY3" s="47" t="e">
        <f t="shared" ref="CY3" si="50">CY4/$W$4</f>
        <v>#DIV/0!</v>
      </c>
    </row>
    <row r="4" spans="1:169" s="1" customFormat="1" ht="15.75" customHeight="1" thickBot="1">
      <c r="A4" s="158" t="s">
        <v>19</v>
      </c>
      <c r="B4" s="159"/>
      <c r="C4" s="159"/>
      <c r="D4" s="159"/>
      <c r="E4" s="159"/>
      <c r="F4" s="159"/>
      <c r="G4" s="159"/>
      <c r="H4" s="159"/>
      <c r="I4" s="159"/>
      <c r="J4" s="159"/>
      <c r="K4" s="159"/>
      <c r="L4" s="159"/>
      <c r="M4" s="159"/>
      <c r="N4" s="159"/>
      <c r="O4" s="159"/>
      <c r="P4" s="159"/>
      <c r="Q4" s="159"/>
      <c r="R4" s="159"/>
      <c r="S4" s="160"/>
      <c r="T4" s="42">
        <f>SUM(T11:T1000)</f>
        <v>0</v>
      </c>
      <c r="U4" s="11">
        <f>SUM(U11:U1000)</f>
        <v>0</v>
      </c>
      <c r="V4" s="11"/>
      <c r="W4" s="13">
        <f>SUM(W11:W1000)</f>
        <v>0</v>
      </c>
      <c r="X4" s="12" t="e">
        <f t="shared" ref="X4" si="51">W4/U4</f>
        <v>#DIV/0!</v>
      </c>
      <c r="Y4" s="12"/>
      <c r="Z4" s="11">
        <f>SUM(Z11:Z1000)</f>
        <v>0</v>
      </c>
      <c r="AA4" s="11">
        <f t="shared" ref="AA4:CL4" si="52">SUM(AA11:AA1000)</f>
        <v>0</v>
      </c>
      <c r="AB4" s="11">
        <f t="shared" si="52"/>
        <v>0</v>
      </c>
      <c r="AC4" s="11">
        <f t="shared" si="52"/>
        <v>0</v>
      </c>
      <c r="AD4" s="11">
        <f t="shared" si="52"/>
        <v>0</v>
      </c>
      <c r="AE4" s="11">
        <f t="shared" si="52"/>
        <v>0</v>
      </c>
      <c r="AF4" s="11">
        <f t="shared" si="52"/>
        <v>0</v>
      </c>
      <c r="AG4" s="11">
        <f t="shared" si="52"/>
        <v>0</v>
      </c>
      <c r="AH4" s="11">
        <f t="shared" si="52"/>
        <v>0</v>
      </c>
      <c r="AI4" s="11">
        <f t="shared" si="52"/>
        <v>0</v>
      </c>
      <c r="AJ4" s="11">
        <f t="shared" si="52"/>
        <v>0</v>
      </c>
      <c r="AK4" s="11">
        <f t="shared" si="52"/>
        <v>0</v>
      </c>
      <c r="AL4" s="11">
        <f t="shared" si="52"/>
        <v>0</v>
      </c>
      <c r="AM4" s="11">
        <f t="shared" si="52"/>
        <v>0</v>
      </c>
      <c r="AN4" s="11">
        <f t="shared" si="52"/>
        <v>0</v>
      </c>
      <c r="AO4" s="11">
        <f t="shared" si="52"/>
        <v>0</v>
      </c>
      <c r="AP4" s="11">
        <f t="shared" si="52"/>
        <v>0</v>
      </c>
      <c r="AQ4" s="11">
        <f t="shared" si="52"/>
        <v>0</v>
      </c>
      <c r="AR4" s="11">
        <f t="shared" si="52"/>
        <v>0</v>
      </c>
      <c r="AS4" s="11">
        <f t="shared" si="52"/>
        <v>0</v>
      </c>
      <c r="AT4" s="11">
        <f t="shared" si="52"/>
        <v>0</v>
      </c>
      <c r="AU4" s="11">
        <f t="shared" si="52"/>
        <v>0</v>
      </c>
      <c r="AV4" s="11">
        <f t="shared" si="52"/>
        <v>0</v>
      </c>
      <c r="AW4" s="11">
        <f t="shared" si="52"/>
        <v>0</v>
      </c>
      <c r="AX4" s="11">
        <f t="shared" si="52"/>
        <v>0</v>
      </c>
      <c r="AY4" s="11">
        <f t="shared" si="52"/>
        <v>0</v>
      </c>
      <c r="AZ4" s="11">
        <f t="shared" si="52"/>
        <v>0</v>
      </c>
      <c r="BA4" s="11">
        <f t="shared" si="52"/>
        <v>0</v>
      </c>
      <c r="BB4" s="11">
        <f t="shared" si="52"/>
        <v>0</v>
      </c>
      <c r="BC4" s="11">
        <f t="shared" si="52"/>
        <v>0</v>
      </c>
      <c r="BD4" s="11">
        <f t="shared" si="52"/>
        <v>0</v>
      </c>
      <c r="BE4" s="11">
        <f t="shared" si="52"/>
        <v>0</v>
      </c>
      <c r="BF4" s="11">
        <f t="shared" si="52"/>
        <v>0</v>
      </c>
      <c r="BG4" s="11">
        <f t="shared" si="52"/>
        <v>0</v>
      </c>
      <c r="BH4" s="11">
        <f t="shared" si="52"/>
        <v>0</v>
      </c>
      <c r="BI4" s="11">
        <f t="shared" si="52"/>
        <v>0</v>
      </c>
      <c r="BJ4" s="11">
        <f t="shared" si="52"/>
        <v>0</v>
      </c>
      <c r="BK4" s="11">
        <f t="shared" si="52"/>
        <v>0</v>
      </c>
      <c r="BL4" s="11">
        <f t="shared" si="52"/>
        <v>0</v>
      </c>
      <c r="BM4" s="11">
        <f t="shared" si="52"/>
        <v>0</v>
      </c>
      <c r="BN4" s="11">
        <f t="shared" si="52"/>
        <v>0</v>
      </c>
      <c r="BO4" s="11">
        <f t="shared" si="52"/>
        <v>0</v>
      </c>
      <c r="BP4" s="11">
        <f t="shared" si="52"/>
        <v>0</v>
      </c>
      <c r="BQ4" s="11">
        <f t="shared" si="52"/>
        <v>0</v>
      </c>
      <c r="BR4" s="11">
        <f t="shared" si="52"/>
        <v>0</v>
      </c>
      <c r="BS4" s="11">
        <f t="shared" si="52"/>
        <v>0</v>
      </c>
      <c r="BT4" s="11">
        <f t="shared" si="52"/>
        <v>0</v>
      </c>
      <c r="BU4" s="11">
        <f t="shared" si="52"/>
        <v>0</v>
      </c>
      <c r="BV4" s="11">
        <f t="shared" si="52"/>
        <v>0</v>
      </c>
      <c r="BW4" s="11">
        <f t="shared" si="52"/>
        <v>0</v>
      </c>
      <c r="BX4" s="11">
        <f t="shared" si="52"/>
        <v>0</v>
      </c>
      <c r="BY4" s="11">
        <f t="shared" si="52"/>
        <v>0</v>
      </c>
      <c r="BZ4" s="11">
        <f t="shared" si="52"/>
        <v>0</v>
      </c>
      <c r="CA4" s="11">
        <f t="shared" si="52"/>
        <v>0</v>
      </c>
      <c r="CB4" s="11">
        <f t="shared" si="52"/>
        <v>0</v>
      </c>
      <c r="CC4" s="11">
        <f t="shared" si="52"/>
        <v>0</v>
      </c>
      <c r="CD4" s="11">
        <f t="shared" si="52"/>
        <v>0</v>
      </c>
      <c r="CE4" s="11">
        <f t="shared" si="52"/>
        <v>0</v>
      </c>
      <c r="CF4" s="11">
        <f t="shared" si="52"/>
        <v>0</v>
      </c>
      <c r="CG4" s="11">
        <f t="shared" si="52"/>
        <v>0</v>
      </c>
      <c r="CH4" s="11">
        <f t="shared" si="52"/>
        <v>0</v>
      </c>
      <c r="CI4" s="11">
        <f t="shared" si="52"/>
        <v>0</v>
      </c>
      <c r="CJ4" s="11">
        <f t="shared" si="52"/>
        <v>0</v>
      </c>
      <c r="CK4" s="11">
        <f t="shared" si="52"/>
        <v>0</v>
      </c>
      <c r="CL4" s="11">
        <f t="shared" si="52"/>
        <v>0</v>
      </c>
      <c r="CM4" s="11">
        <f t="shared" ref="CM4:CY4" si="53">SUM(CM11:CM1000)</f>
        <v>0</v>
      </c>
      <c r="CN4" s="11">
        <f t="shared" si="53"/>
        <v>0</v>
      </c>
      <c r="CO4" s="11">
        <f t="shared" si="53"/>
        <v>0</v>
      </c>
      <c r="CP4" s="11">
        <f t="shared" si="53"/>
        <v>0</v>
      </c>
      <c r="CQ4" s="11">
        <f t="shared" si="53"/>
        <v>0</v>
      </c>
      <c r="CR4" s="11">
        <f t="shared" si="53"/>
        <v>0</v>
      </c>
      <c r="CS4" s="11">
        <f t="shared" si="53"/>
        <v>0</v>
      </c>
      <c r="CT4" s="11">
        <f t="shared" si="53"/>
        <v>0</v>
      </c>
      <c r="CU4" s="11">
        <f t="shared" si="53"/>
        <v>0</v>
      </c>
      <c r="CV4" s="11">
        <f t="shared" si="53"/>
        <v>0</v>
      </c>
      <c r="CW4" s="11">
        <f t="shared" si="53"/>
        <v>0</v>
      </c>
      <c r="CX4" s="11">
        <f t="shared" si="53"/>
        <v>0</v>
      </c>
      <c r="CY4" s="11">
        <f t="shared" si="53"/>
        <v>0</v>
      </c>
    </row>
    <row r="5" spans="1:169" ht="44.25" customHeight="1">
      <c r="J5" s="142" t="s">
        <v>20</v>
      </c>
      <c r="K5" s="143"/>
      <c r="L5" s="20" t="s">
        <v>30</v>
      </c>
      <c r="M5" s="20" t="s">
        <v>21</v>
      </c>
      <c r="N5" s="20" t="s">
        <v>22</v>
      </c>
      <c r="O5" s="21" t="s">
        <v>17</v>
      </c>
      <c r="Z5" s="7"/>
      <c r="AA5" s="7"/>
      <c r="AB5" s="7"/>
      <c r="AC5" s="7"/>
      <c r="AD5" s="7"/>
      <c r="AE5" s="7"/>
      <c r="AF5" s="7"/>
      <c r="AG5" s="7"/>
      <c r="AH5" s="7"/>
      <c r="CZ5" s="9"/>
    </row>
    <row r="6" spans="1:169" ht="45.6" customHeight="1">
      <c r="J6" s="144">
        <v>1</v>
      </c>
      <c r="K6" s="145"/>
      <c r="L6" s="22" t="e">
        <f>'Helper-2'!O2</f>
        <v>#N/A</v>
      </c>
      <c r="M6" s="22" t="e">
        <f>'Helper-2'!P2</f>
        <v>#N/A</v>
      </c>
      <c r="N6" s="23" t="e">
        <f>'Helper-2'!Q2</f>
        <v>#N/A</v>
      </c>
      <c r="O6" s="24" t="e">
        <f>'Helper-2'!R2</f>
        <v>#DIV/0!</v>
      </c>
      <c r="Z6" s="7"/>
      <c r="AA6" s="7"/>
      <c r="AB6" s="7"/>
      <c r="AC6" s="7"/>
      <c r="AD6" s="7"/>
      <c r="AE6" s="7"/>
      <c r="AF6" s="7"/>
      <c r="AG6" s="7"/>
      <c r="AH6" s="7"/>
      <c r="CZ6" s="9"/>
    </row>
    <row r="7" spans="1:169" ht="45.6" customHeight="1">
      <c r="J7" s="134">
        <v>2</v>
      </c>
      <c r="K7" s="135"/>
      <c r="L7" s="25" t="e">
        <f>'Helper-2'!O3</f>
        <v>#N/A</v>
      </c>
      <c r="M7" s="25" t="e">
        <f>'Helper-2'!P3</f>
        <v>#N/A</v>
      </c>
      <c r="N7" s="26" t="e">
        <f>'Helper-2'!Q3</f>
        <v>#N/A</v>
      </c>
      <c r="O7" s="27" t="e">
        <f>'Helper-2'!R3</f>
        <v>#DIV/0!</v>
      </c>
      <c r="Z7" s="7"/>
      <c r="AA7" s="7"/>
      <c r="AB7" s="7"/>
      <c r="AC7" s="7"/>
      <c r="AD7" s="7"/>
      <c r="AE7" s="7"/>
      <c r="AF7" s="7"/>
      <c r="AG7" s="7"/>
      <c r="AH7" s="7"/>
      <c r="CZ7" s="9"/>
    </row>
    <row r="8" spans="1:169" ht="45.6" customHeight="1">
      <c r="J8" s="136">
        <v>3</v>
      </c>
      <c r="K8" s="137"/>
      <c r="L8" s="28" t="e">
        <f>'Helper-2'!O4</f>
        <v>#N/A</v>
      </c>
      <c r="M8" s="28" t="e">
        <f>'Helper-2'!P4</f>
        <v>#N/A</v>
      </c>
      <c r="N8" s="29" t="e">
        <f>'Helper-2'!Q4</f>
        <v>#N/A</v>
      </c>
      <c r="O8" s="30" t="e">
        <f>'Helper-2'!R4</f>
        <v>#DIV/0!</v>
      </c>
      <c r="Z8" s="7"/>
      <c r="AA8" s="7"/>
      <c r="AB8" s="7"/>
      <c r="AC8" s="7"/>
      <c r="AD8" s="7"/>
      <c r="AE8" s="7"/>
      <c r="AF8" s="7"/>
      <c r="AG8" s="7"/>
      <c r="AH8" s="7"/>
      <c r="CZ8" s="9"/>
    </row>
    <row r="9" spans="1:169" ht="45.6" customHeight="1">
      <c r="J9" s="138">
        <v>4</v>
      </c>
      <c r="K9" s="139"/>
      <c r="L9" s="31" t="e">
        <f>'Helper-2'!O5</f>
        <v>#N/A</v>
      </c>
      <c r="M9" s="31" t="e">
        <f>'Helper-2'!P5</f>
        <v>#N/A</v>
      </c>
      <c r="N9" s="32" t="e">
        <f>'Helper-2'!Q5</f>
        <v>#N/A</v>
      </c>
      <c r="O9" s="33" t="e">
        <f>'Helper-2'!R5</f>
        <v>#DIV/0!</v>
      </c>
      <c r="Z9" s="7"/>
      <c r="AA9" s="7"/>
      <c r="AB9" s="7"/>
      <c r="AC9" s="7"/>
      <c r="AD9" s="7"/>
      <c r="AE9" s="7"/>
      <c r="AF9" s="7"/>
      <c r="AG9" s="7"/>
      <c r="AH9" s="7"/>
      <c r="CZ9" s="9"/>
    </row>
    <row r="10" spans="1:169" ht="45.6" customHeight="1" thickBot="1">
      <c r="J10" s="140">
        <v>5</v>
      </c>
      <c r="K10" s="141"/>
      <c r="L10" s="34" t="e">
        <f>'Helper-2'!O6</f>
        <v>#N/A</v>
      </c>
      <c r="M10" s="34" t="e">
        <f>'Helper-2'!P6</f>
        <v>#N/A</v>
      </c>
      <c r="N10" s="35" t="e">
        <f>'Helper-2'!Q6</f>
        <v>#N/A</v>
      </c>
      <c r="O10" s="36" t="e">
        <f>'Helper-2'!R6</f>
        <v>#DIV/0!</v>
      </c>
      <c r="Z10" s="7"/>
      <c r="AA10" s="7"/>
      <c r="AB10" s="7"/>
      <c r="AC10" s="7"/>
      <c r="AD10" s="7"/>
      <c r="AE10" s="7"/>
      <c r="AF10" s="7"/>
      <c r="AG10" s="7"/>
      <c r="AH10" s="7"/>
    </row>
    <row r="11" spans="1:169" s="1" customFormat="1" ht="12.75" thickBot="1">
      <c r="A11" s="48"/>
      <c r="B11" s="49"/>
      <c r="C11" s="49"/>
      <c r="D11" s="49"/>
      <c r="E11" s="49"/>
      <c r="F11" s="49"/>
      <c r="G11" s="49"/>
      <c r="H11" s="49"/>
      <c r="I11" s="49"/>
      <c r="J11" s="49"/>
      <c r="K11" s="49"/>
      <c r="L11" s="49"/>
      <c r="M11" s="49"/>
      <c r="N11" s="49"/>
      <c r="O11" s="49"/>
      <c r="P11" s="49"/>
      <c r="Q11" s="49"/>
      <c r="R11" s="49"/>
      <c r="S11" s="50"/>
      <c r="T11" s="42"/>
      <c r="U11" s="11"/>
      <c r="V11" s="11"/>
      <c r="W11" s="13"/>
      <c r="X11" s="12"/>
      <c r="Y11" s="12"/>
      <c r="Z11" s="11"/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</row>
    <row r="12" spans="1:169" s="6" customFormat="1" ht="20.25" customHeight="1">
      <c r="A12" s="10"/>
      <c r="B12" s="10"/>
      <c r="C12" s="51" t="e">
        <f>"1ST TIME RE-FINAL " &amp; TEXT((U12/T12) * 100%, "0.00%")</f>
        <v>#DIV/0!</v>
      </c>
      <c r="D12" s="39"/>
      <c r="E12" s="2"/>
      <c r="F12" s="52">
        <f>IF(E12&gt;=D12,E12-D12,E12-D12+1)</f>
        <v>0</v>
      </c>
      <c r="G12" s="40"/>
      <c r="H12" s="37"/>
      <c r="I12" s="52">
        <f t="shared" ref="I12:I21" si="54">IF(H12&gt;=G12,H12-G12,H12-G12+1)</f>
        <v>0</v>
      </c>
      <c r="J12" s="38" t="s">
        <v>67</v>
      </c>
      <c r="K12" s="38"/>
      <c r="L12" s="14"/>
      <c r="M12" s="16"/>
      <c r="N12" s="16"/>
      <c r="O12" s="53">
        <f>IF(LEFT(M12,2)="01","JAPAN",IF(LEFT(M12,2)="03","CHINA",IF(LEFT(M12,2)="07","EUROPE",IF(LEFT(M12,2)="14","AU",IF(LEFT(M12,2)="17","CANADA",IF(LEFT(M12,2)="04","USA",IF(LEFT(M12,2)="10","TAIWAN",IF(LEFT(M12,2)="36","INDIA",IF(LEFT(M12,2)="05","KOREA",IF(LEFT(M12,2)="08","SINGAPORE",))))))))))</f>
        <v>0</v>
      </c>
      <c r="P12" s="17"/>
      <c r="Q12" s="53"/>
      <c r="R12" s="17"/>
      <c r="S12" s="45"/>
      <c r="T12" s="17"/>
      <c r="U12" s="3"/>
      <c r="V12" s="15" t="s">
        <v>67</v>
      </c>
      <c r="W12" s="18">
        <f t="shared" ref="W12:W21" si="55">SUM(Z12:CY12)</f>
        <v>0</v>
      </c>
      <c r="X12" s="19" t="e">
        <f>W12/U12</f>
        <v>#DIV/0!</v>
      </c>
      <c r="Y12" s="43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</row>
    <row r="13" spans="1:169" s="6" customFormat="1" ht="20.25" customHeight="1">
      <c r="A13" s="10"/>
      <c r="B13" s="10"/>
      <c r="C13" s="51" t="e">
        <f t="shared" ref="C13:C21" si="56">"1ST TIME RE-FINAL " &amp; TEXT((U13/T13) * 100%, "0.00%")</f>
        <v>#DIV/0!</v>
      </c>
      <c r="D13" s="39"/>
      <c r="E13" s="2"/>
      <c r="F13" s="52">
        <f t="shared" ref="F13:F21" si="57">IF(E13&gt;=D13,E13-D13,E13-D13+1)</f>
        <v>0</v>
      </c>
      <c r="G13" s="40"/>
      <c r="H13" s="37"/>
      <c r="I13" s="52">
        <f t="shared" si="54"/>
        <v>0</v>
      </c>
      <c r="J13" s="38" t="s">
        <v>67</v>
      </c>
      <c r="K13" s="38"/>
      <c r="L13" s="14"/>
      <c r="M13" s="16"/>
      <c r="N13" s="16"/>
      <c r="O13" s="53">
        <f t="shared" ref="O13:O20" si="58">IF(LEFT(M13,2)="01","JAPAN",IF(LEFT(M13,2)="03","CHINA",IF(LEFT(M13,2)="07","EUROPE",IF(LEFT(M13,2)="14","AU",IF(LEFT(M13,2)="17","CANADA",IF(LEFT(M13,2)="04","USA",IF(LEFT(M13,2)="10","TAIWAN",IF(LEFT(M13,2)="36","INDIA",IF(LEFT(M13,2)="05","KOREA",IF(LEFT(M13,2)="08","SINGAPORE",))))))))))</f>
        <v>0</v>
      </c>
      <c r="P13" s="17"/>
      <c r="Q13" s="53"/>
      <c r="R13" s="17"/>
      <c r="S13" s="45"/>
      <c r="T13" s="17"/>
      <c r="U13" s="3"/>
      <c r="V13" s="15" t="s">
        <v>67</v>
      </c>
      <c r="W13" s="18">
        <f t="shared" si="55"/>
        <v>0</v>
      </c>
      <c r="X13" s="19" t="e">
        <f t="shared" ref="X13:X21" si="59">W13/U13</f>
        <v>#DIV/0!</v>
      </c>
      <c r="Y13" s="43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</row>
    <row r="14" spans="1:169" s="6" customFormat="1" ht="20.25" customHeight="1">
      <c r="A14" s="10"/>
      <c r="B14" s="10"/>
      <c r="C14" s="51" t="e">
        <f t="shared" si="56"/>
        <v>#DIV/0!</v>
      </c>
      <c r="D14" s="39"/>
      <c r="E14" s="2"/>
      <c r="F14" s="52">
        <f t="shared" si="57"/>
        <v>0</v>
      </c>
      <c r="G14" s="40"/>
      <c r="H14" s="37"/>
      <c r="I14" s="52">
        <f t="shared" si="54"/>
        <v>0</v>
      </c>
      <c r="J14" s="38" t="s">
        <v>67</v>
      </c>
      <c r="K14" s="38"/>
      <c r="L14" s="14"/>
      <c r="M14" s="16"/>
      <c r="N14" s="16"/>
      <c r="O14" s="53">
        <f t="shared" si="58"/>
        <v>0</v>
      </c>
      <c r="P14" s="17"/>
      <c r="Q14" s="53"/>
      <c r="R14" s="17"/>
      <c r="S14" s="45"/>
      <c r="T14" s="17"/>
      <c r="U14" s="3"/>
      <c r="V14" s="15" t="s">
        <v>67</v>
      </c>
      <c r="W14" s="18">
        <f t="shared" si="55"/>
        <v>0</v>
      </c>
      <c r="X14" s="19" t="e">
        <f t="shared" ref="X14:X15" si="60">W14/U14</f>
        <v>#DIV/0!</v>
      </c>
      <c r="Y14" s="43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</row>
    <row r="15" spans="1:169" s="6" customFormat="1" ht="20.25" customHeight="1">
      <c r="A15" s="10"/>
      <c r="B15" s="10"/>
      <c r="C15" s="51" t="e">
        <f t="shared" si="56"/>
        <v>#DIV/0!</v>
      </c>
      <c r="D15" s="39"/>
      <c r="E15" s="2"/>
      <c r="F15" s="52">
        <f t="shared" si="57"/>
        <v>0</v>
      </c>
      <c r="G15" s="40"/>
      <c r="H15" s="37"/>
      <c r="I15" s="52">
        <f t="shared" si="54"/>
        <v>0</v>
      </c>
      <c r="J15" s="38" t="s">
        <v>67</v>
      </c>
      <c r="K15" s="38"/>
      <c r="L15" s="14"/>
      <c r="M15" s="16"/>
      <c r="N15" s="16"/>
      <c r="O15" s="53">
        <f t="shared" si="58"/>
        <v>0</v>
      </c>
      <c r="P15" s="17"/>
      <c r="Q15" s="53"/>
      <c r="R15" s="17"/>
      <c r="S15" s="45"/>
      <c r="T15" s="17"/>
      <c r="U15" s="3"/>
      <c r="V15" s="15" t="s">
        <v>67</v>
      </c>
      <c r="W15" s="18">
        <f t="shared" si="55"/>
        <v>0</v>
      </c>
      <c r="X15" s="19" t="e">
        <f t="shared" si="60"/>
        <v>#DIV/0!</v>
      </c>
      <c r="Y15" s="43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</row>
    <row r="16" spans="1:169" s="6" customFormat="1" ht="20.25" customHeight="1">
      <c r="A16" s="10"/>
      <c r="B16" s="10"/>
      <c r="C16" s="51" t="e">
        <f t="shared" si="56"/>
        <v>#DIV/0!</v>
      </c>
      <c r="D16" s="39"/>
      <c r="E16" s="2"/>
      <c r="F16" s="52">
        <f t="shared" si="57"/>
        <v>0</v>
      </c>
      <c r="G16" s="40"/>
      <c r="H16" s="37"/>
      <c r="I16" s="52">
        <f t="shared" si="54"/>
        <v>0</v>
      </c>
      <c r="J16" s="38" t="s">
        <v>67</v>
      </c>
      <c r="K16" s="38"/>
      <c r="L16" s="14"/>
      <c r="M16" s="16"/>
      <c r="N16" s="16"/>
      <c r="O16" s="53">
        <f t="shared" si="58"/>
        <v>0</v>
      </c>
      <c r="P16" s="17"/>
      <c r="Q16" s="53"/>
      <c r="R16" s="17"/>
      <c r="S16" s="45"/>
      <c r="T16" s="17"/>
      <c r="U16" s="3"/>
      <c r="V16" s="15" t="s">
        <v>67</v>
      </c>
      <c r="W16" s="18">
        <f t="shared" si="55"/>
        <v>0</v>
      </c>
      <c r="X16" s="19" t="e">
        <f t="shared" ref="X16:X18" si="61">W16/U16</f>
        <v>#DIV/0!</v>
      </c>
      <c r="Y16" s="43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</row>
    <row r="17" spans="1:170" s="6" customFormat="1" ht="20.25" customHeight="1">
      <c r="A17" s="10"/>
      <c r="B17" s="10"/>
      <c r="C17" s="51" t="e">
        <f t="shared" si="56"/>
        <v>#DIV/0!</v>
      </c>
      <c r="D17" s="39"/>
      <c r="E17" s="2"/>
      <c r="F17" s="52">
        <f t="shared" si="57"/>
        <v>0</v>
      </c>
      <c r="G17" s="40"/>
      <c r="H17" s="2"/>
      <c r="I17" s="52">
        <f t="shared" si="54"/>
        <v>0</v>
      </c>
      <c r="J17" s="38" t="s">
        <v>67</v>
      </c>
      <c r="K17" s="38"/>
      <c r="L17" s="14"/>
      <c r="M17" s="16"/>
      <c r="N17" s="16"/>
      <c r="O17" s="53">
        <f t="shared" si="58"/>
        <v>0</v>
      </c>
      <c r="P17" s="17"/>
      <c r="Q17" s="53"/>
      <c r="R17" s="17"/>
      <c r="S17" s="45"/>
      <c r="T17" s="17"/>
      <c r="U17" s="3"/>
      <c r="V17" s="15" t="s">
        <v>67</v>
      </c>
      <c r="W17" s="18">
        <f t="shared" si="55"/>
        <v>0</v>
      </c>
      <c r="X17" s="19" t="e">
        <f t="shared" si="61"/>
        <v>#DIV/0!</v>
      </c>
      <c r="Y17" s="43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</row>
    <row r="18" spans="1:170" s="6" customFormat="1" ht="20.25" customHeight="1">
      <c r="A18" s="10"/>
      <c r="B18" s="10"/>
      <c r="C18" s="51" t="e">
        <f t="shared" si="56"/>
        <v>#DIV/0!</v>
      </c>
      <c r="D18" s="39"/>
      <c r="E18" s="2"/>
      <c r="F18" s="52">
        <f t="shared" si="57"/>
        <v>0</v>
      </c>
      <c r="G18" s="40"/>
      <c r="H18" s="37"/>
      <c r="I18" s="52">
        <f t="shared" si="54"/>
        <v>0</v>
      </c>
      <c r="J18" s="38" t="s">
        <v>67</v>
      </c>
      <c r="K18" s="38"/>
      <c r="L18" s="14"/>
      <c r="M18" s="16"/>
      <c r="N18" s="16"/>
      <c r="O18" s="53">
        <f t="shared" si="58"/>
        <v>0</v>
      </c>
      <c r="P18" s="17"/>
      <c r="Q18" s="53"/>
      <c r="R18" s="17"/>
      <c r="S18" s="45"/>
      <c r="T18" s="17"/>
      <c r="U18" s="3"/>
      <c r="V18" s="15" t="s">
        <v>67</v>
      </c>
      <c r="W18" s="18">
        <f t="shared" si="55"/>
        <v>0</v>
      </c>
      <c r="X18" s="19" t="e">
        <f t="shared" si="61"/>
        <v>#DIV/0!</v>
      </c>
      <c r="Y18" s="43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</row>
    <row r="19" spans="1:170" s="6" customFormat="1" ht="20.25" customHeight="1">
      <c r="A19" s="10"/>
      <c r="B19" s="10"/>
      <c r="C19" s="51" t="e">
        <f t="shared" si="56"/>
        <v>#DIV/0!</v>
      </c>
      <c r="D19" s="39"/>
      <c r="E19" s="2"/>
      <c r="F19" s="52">
        <f t="shared" si="57"/>
        <v>0</v>
      </c>
      <c r="G19" s="40"/>
      <c r="H19" s="2"/>
      <c r="I19" s="52">
        <f t="shared" si="54"/>
        <v>0</v>
      </c>
      <c r="J19" s="38" t="s">
        <v>67</v>
      </c>
      <c r="K19" s="38"/>
      <c r="L19" s="14"/>
      <c r="M19" s="16"/>
      <c r="N19" s="16"/>
      <c r="O19" s="53">
        <f t="shared" si="58"/>
        <v>0</v>
      </c>
      <c r="P19" s="17"/>
      <c r="Q19" s="53"/>
      <c r="R19" s="17"/>
      <c r="S19" s="45"/>
      <c r="T19" s="17"/>
      <c r="U19" s="3"/>
      <c r="V19" s="15" t="s">
        <v>67</v>
      </c>
      <c r="W19" s="18">
        <f t="shared" ref="W19:W20" si="62">SUM(Z19:CY19)</f>
        <v>0</v>
      </c>
      <c r="X19" s="19" t="e">
        <f t="shared" ref="X19:X20" si="63">W19/U19</f>
        <v>#DIV/0!</v>
      </c>
      <c r="Y19" s="43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</row>
    <row r="20" spans="1:170" s="6" customFormat="1" ht="20.25" customHeight="1">
      <c r="A20" s="10"/>
      <c r="B20" s="10"/>
      <c r="C20" s="51" t="e">
        <f t="shared" si="56"/>
        <v>#DIV/0!</v>
      </c>
      <c r="D20" s="39"/>
      <c r="E20" s="2"/>
      <c r="F20" s="52">
        <f t="shared" si="57"/>
        <v>0</v>
      </c>
      <c r="G20" s="40"/>
      <c r="H20" s="37"/>
      <c r="I20" s="52">
        <f t="shared" si="54"/>
        <v>0</v>
      </c>
      <c r="J20" s="38" t="s">
        <v>67</v>
      </c>
      <c r="K20" s="38"/>
      <c r="L20" s="14"/>
      <c r="M20" s="16"/>
      <c r="N20" s="16"/>
      <c r="O20" s="53">
        <f t="shared" si="58"/>
        <v>0</v>
      </c>
      <c r="P20" s="17"/>
      <c r="Q20" s="53"/>
      <c r="R20" s="17"/>
      <c r="S20" s="45"/>
      <c r="T20" s="17"/>
      <c r="U20" s="3"/>
      <c r="V20" s="15" t="s">
        <v>67</v>
      </c>
      <c r="W20" s="18">
        <f t="shared" si="62"/>
        <v>0</v>
      </c>
      <c r="X20" s="19" t="e">
        <f t="shared" si="63"/>
        <v>#DIV/0!</v>
      </c>
      <c r="Y20" s="43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</row>
    <row r="21" spans="1:170" s="6" customFormat="1" ht="20.25" customHeight="1">
      <c r="A21" s="10"/>
      <c r="B21" s="10"/>
      <c r="C21" s="51" t="e">
        <f t="shared" si="56"/>
        <v>#DIV/0!</v>
      </c>
      <c r="D21" s="39"/>
      <c r="E21" s="2"/>
      <c r="F21" s="52">
        <f t="shared" si="57"/>
        <v>0</v>
      </c>
      <c r="G21" s="40"/>
      <c r="H21" s="37"/>
      <c r="I21" s="52">
        <f t="shared" si="54"/>
        <v>0</v>
      </c>
      <c r="J21" s="38" t="s">
        <v>67</v>
      </c>
      <c r="K21" s="38"/>
      <c r="L21" s="14"/>
      <c r="M21" s="16"/>
      <c r="N21" s="16"/>
      <c r="O21" s="53">
        <f t="shared" ref="O21" si="64">IF(LEFT(M21,2)="01","JAPAN",IF(LEFT(M21,2)="03","CHINA",IF(LEFT(M21,2)="07","EUROPE",IF(LEFT(M21,2)="14","AU",IF(LEFT(M21,2)="17","CANADA",IF(LEFT(M21,2)="04","USA",IF(LEFT(M21,2)="10","TAIWAN",IF(LEFT(M21,2)="36","INDIA",IF(LEFT(M21,2)="05","KOREA",)))))))))</f>
        <v>0</v>
      </c>
      <c r="P21" s="17"/>
      <c r="Q21" s="53"/>
      <c r="R21" s="17"/>
      <c r="S21" s="45"/>
      <c r="T21" s="17"/>
      <c r="U21" s="3"/>
      <c r="V21" s="15" t="s">
        <v>67</v>
      </c>
      <c r="W21" s="18">
        <f t="shared" si="55"/>
        <v>0</v>
      </c>
      <c r="X21" s="19" t="e">
        <f t="shared" si="59"/>
        <v>#DIV/0!</v>
      </c>
      <c r="Y21" s="43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</row>
    <row r="22" spans="1:170">
      <c r="Z22" s="7"/>
      <c r="AA22" s="7"/>
      <c r="AB22" s="7"/>
      <c r="AC22" s="7"/>
      <c r="AD22" s="7"/>
      <c r="AE22" s="7"/>
      <c r="AF22" s="7"/>
      <c r="AG22" s="7"/>
      <c r="AH22" s="7"/>
    </row>
    <row r="23" spans="1:170" s="7" customFormat="1">
      <c r="F23" s="41"/>
      <c r="I23" s="8"/>
      <c r="Z23" s="46"/>
      <c r="AA23" s="46"/>
      <c r="AB23" s="46"/>
      <c r="AC23" s="46"/>
      <c r="AD23" s="46"/>
      <c r="AE23" s="46"/>
      <c r="AF23" s="46"/>
      <c r="AG23" s="46"/>
      <c r="AH23" s="46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</row>
    <row r="24" spans="1:170" s="7" customFormat="1">
      <c r="F24" s="41"/>
      <c r="I24" s="8"/>
      <c r="Z24" s="46"/>
      <c r="AA24" s="46"/>
      <c r="AB24" s="46"/>
      <c r="AC24" s="46"/>
      <c r="AD24" s="46"/>
      <c r="AE24" s="46"/>
      <c r="AF24" s="46"/>
      <c r="AG24" s="46"/>
      <c r="AH24" s="46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</row>
    <row r="25" spans="1:170" s="7" customFormat="1">
      <c r="F25" s="41"/>
      <c r="I25" s="8"/>
      <c r="Z25" s="46"/>
      <c r="AA25" s="46"/>
      <c r="AB25" s="46"/>
      <c r="AC25" s="46"/>
      <c r="AD25" s="46"/>
      <c r="AE25" s="46"/>
      <c r="AF25" s="46"/>
      <c r="AG25" s="46"/>
      <c r="AH25" s="46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</row>
    <row r="26" spans="1:170" s="7" customFormat="1">
      <c r="F26" s="41"/>
      <c r="I26" s="8"/>
      <c r="Z26" s="46"/>
      <c r="AA26" s="46"/>
      <c r="AB26" s="46"/>
      <c r="AC26" s="46"/>
      <c r="AD26" s="46"/>
      <c r="AE26" s="46"/>
      <c r="AF26" s="46"/>
      <c r="AG26" s="46"/>
      <c r="AH26" s="46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</row>
    <row r="27" spans="1:170" s="7" customFormat="1">
      <c r="F27" s="41"/>
      <c r="I27" s="8"/>
      <c r="Z27" s="46"/>
      <c r="AA27" s="46"/>
      <c r="AB27" s="46"/>
      <c r="AC27" s="46"/>
      <c r="AD27" s="46"/>
      <c r="AE27" s="46"/>
      <c r="AF27" s="46"/>
      <c r="AG27" s="46"/>
      <c r="AH27" s="46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</row>
    <row r="28" spans="1:170" s="7" customFormat="1">
      <c r="F28" s="41"/>
      <c r="I28" s="8"/>
      <c r="Z28" s="46"/>
      <c r="AA28" s="46"/>
      <c r="AB28" s="46"/>
      <c r="AC28" s="46"/>
      <c r="AD28" s="46"/>
      <c r="AE28" s="46"/>
      <c r="AF28" s="46"/>
      <c r="AG28" s="46"/>
      <c r="AH28" s="46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</row>
    <row r="29" spans="1:170" s="7" customFormat="1">
      <c r="F29" s="41"/>
      <c r="I29" s="8"/>
      <c r="Z29" s="46"/>
      <c r="AA29" s="46"/>
      <c r="AB29" s="46"/>
      <c r="AC29" s="46"/>
      <c r="AD29" s="46"/>
      <c r="AE29" s="46"/>
      <c r="AF29" s="46"/>
      <c r="AG29" s="46"/>
      <c r="AH29" s="46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</row>
    <row r="30" spans="1:170" s="7" customFormat="1" hidden="1">
      <c r="F30" s="41"/>
      <c r="I30" s="8"/>
      <c r="K30" s="7">
        <v>1</v>
      </c>
      <c r="Z30" s="46"/>
      <c r="AA30" s="46"/>
      <c r="AB30" s="46"/>
      <c r="AC30" s="46"/>
      <c r="AD30" s="46"/>
      <c r="AE30" s="46"/>
      <c r="AF30" s="46"/>
      <c r="AG30" s="46"/>
      <c r="AH30" s="46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</row>
    <row r="31" spans="1:170" s="7" customFormat="1" hidden="1">
      <c r="F31" s="41"/>
      <c r="I31" s="8"/>
      <c r="K31" s="7">
        <v>2</v>
      </c>
      <c r="Z31" s="46"/>
      <c r="AA31" s="46"/>
      <c r="AB31" s="46"/>
      <c r="AC31" s="46"/>
      <c r="AD31" s="46"/>
      <c r="AE31" s="46"/>
      <c r="AF31" s="46"/>
      <c r="AG31" s="46"/>
      <c r="AH31" s="46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</row>
    <row r="32" spans="1:170" s="7" customFormat="1" hidden="1">
      <c r="F32" s="41"/>
      <c r="I32" s="8"/>
      <c r="K32" s="7">
        <v>3</v>
      </c>
      <c r="Z32" s="46"/>
      <c r="AA32" s="46"/>
      <c r="AB32" s="46"/>
      <c r="AC32" s="46"/>
      <c r="AD32" s="46"/>
      <c r="AE32" s="46"/>
      <c r="AF32" s="46"/>
      <c r="AG32" s="46"/>
      <c r="AH32" s="46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</row>
    <row r="33" spans="6:170" s="7" customFormat="1" hidden="1">
      <c r="F33" s="41"/>
      <c r="I33" s="8"/>
      <c r="K33" s="7">
        <v>4</v>
      </c>
      <c r="Z33" s="46"/>
      <c r="AA33" s="46"/>
      <c r="AB33" s="46"/>
      <c r="AC33" s="46"/>
      <c r="AD33" s="46"/>
      <c r="AE33" s="46"/>
      <c r="AF33" s="46"/>
      <c r="AG33" s="46"/>
      <c r="AH33" s="46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</row>
    <row r="34" spans="6:170" s="7" customFormat="1" hidden="1">
      <c r="F34" s="41"/>
      <c r="I34" s="8"/>
      <c r="K34" s="7">
        <v>5</v>
      </c>
      <c r="Z34" s="46"/>
      <c r="AA34" s="46"/>
      <c r="AB34" s="46"/>
      <c r="AC34" s="46"/>
      <c r="AD34" s="46"/>
      <c r="AE34" s="46"/>
      <c r="AF34" s="46"/>
      <c r="AG34" s="46"/>
      <c r="AH34" s="46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</row>
    <row r="35" spans="6:170" s="7" customFormat="1">
      <c r="F35" s="41"/>
      <c r="I35" s="8"/>
      <c r="Z35" s="46"/>
      <c r="AA35" s="46"/>
      <c r="AB35" s="46"/>
      <c r="AC35" s="46"/>
      <c r="AD35" s="46"/>
      <c r="AE35" s="46"/>
      <c r="AF35" s="46"/>
      <c r="AG35" s="46"/>
      <c r="AH35" s="46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</row>
    <row r="36" spans="6:170" s="7" customFormat="1">
      <c r="F36" s="41"/>
      <c r="I36" s="8"/>
      <c r="Z36" s="46"/>
      <c r="AA36" s="46"/>
      <c r="AB36" s="46"/>
      <c r="AC36" s="46"/>
      <c r="AD36" s="46"/>
      <c r="AE36" s="46"/>
      <c r="AF36" s="46"/>
      <c r="AG36" s="46"/>
      <c r="AH36" s="46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</row>
    <row r="37" spans="6:170" s="7" customFormat="1">
      <c r="F37" s="41"/>
      <c r="I37" s="8"/>
      <c r="Z37" s="46"/>
      <c r="AA37" s="46"/>
      <c r="AB37" s="46"/>
      <c r="AC37" s="46"/>
      <c r="AD37" s="46"/>
      <c r="AE37" s="46"/>
      <c r="AF37" s="46"/>
      <c r="AG37" s="46"/>
      <c r="AH37" s="46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</row>
    <row r="38" spans="6:170" s="7" customFormat="1">
      <c r="F38" s="41"/>
      <c r="I38" s="8"/>
      <c r="Z38" s="46"/>
      <c r="AA38" s="46"/>
      <c r="AB38" s="46"/>
      <c r="AC38" s="46"/>
      <c r="AD38" s="46"/>
      <c r="AE38" s="46"/>
      <c r="AF38" s="46"/>
      <c r="AG38" s="46"/>
      <c r="AH38" s="46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</row>
    <row r="39" spans="6:170" s="7" customFormat="1">
      <c r="F39" s="41"/>
      <c r="I39" s="8"/>
      <c r="Z39" s="46"/>
      <c r="AA39" s="46"/>
      <c r="AB39" s="46"/>
      <c r="AC39" s="46"/>
      <c r="AD39" s="46"/>
      <c r="AE39" s="46"/>
      <c r="AF39" s="46"/>
      <c r="AG39" s="46"/>
      <c r="AH39" s="46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</row>
    <row r="40" spans="6:170" s="7" customFormat="1">
      <c r="F40" s="41"/>
      <c r="I40" s="8"/>
      <c r="Z40" s="46"/>
      <c r="AA40" s="46"/>
      <c r="AB40" s="46"/>
      <c r="AC40" s="46"/>
      <c r="AD40" s="46"/>
      <c r="AE40" s="46"/>
      <c r="AF40" s="46"/>
      <c r="AG40" s="46"/>
      <c r="AH40" s="46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</row>
    <row r="41" spans="6:170" s="7" customFormat="1">
      <c r="F41" s="41"/>
      <c r="I41" s="8"/>
      <c r="Z41" s="46"/>
      <c r="AA41" s="46"/>
      <c r="AB41" s="46"/>
      <c r="AC41" s="46"/>
      <c r="AD41" s="46"/>
      <c r="AE41" s="46"/>
      <c r="AF41" s="46"/>
      <c r="AG41" s="46"/>
      <c r="AH41" s="46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</row>
    <row r="42" spans="6:170" s="7" customFormat="1">
      <c r="F42" s="41"/>
      <c r="I42" s="8"/>
      <c r="Z42" s="46"/>
      <c r="AA42" s="46"/>
      <c r="AB42" s="46"/>
      <c r="AC42" s="46"/>
      <c r="AD42" s="46"/>
      <c r="AE42" s="46"/>
      <c r="AF42" s="46"/>
      <c r="AG42" s="46"/>
      <c r="AH42" s="46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</row>
    <row r="43" spans="6:170" s="7" customFormat="1">
      <c r="F43" s="41"/>
      <c r="I43" s="8"/>
      <c r="Z43" s="46"/>
      <c r="AA43" s="46"/>
      <c r="AB43" s="46"/>
      <c r="AC43" s="46"/>
      <c r="AD43" s="46"/>
      <c r="AE43" s="46"/>
      <c r="AF43" s="46"/>
      <c r="AG43" s="46"/>
      <c r="AH43" s="46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/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/>
      <c r="FJ43" s="9"/>
      <c r="FK43" s="9"/>
      <c r="FL43" s="9"/>
      <c r="FM43" s="9"/>
      <c r="FN43" s="9"/>
    </row>
    <row r="44" spans="6:170" s="7" customFormat="1">
      <c r="F44" s="41"/>
      <c r="I44" s="8"/>
      <c r="Z44" s="46"/>
      <c r="AA44" s="46"/>
      <c r="AB44" s="46"/>
      <c r="AC44" s="46"/>
      <c r="AD44" s="46"/>
      <c r="AE44" s="46"/>
      <c r="AF44" s="46"/>
      <c r="AG44" s="46"/>
      <c r="AH44" s="46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</row>
    <row r="45" spans="6:170" s="7" customFormat="1">
      <c r="F45" s="41"/>
      <c r="I45" s="8"/>
      <c r="Z45" s="46"/>
      <c r="AA45" s="46"/>
      <c r="AB45" s="46"/>
      <c r="AC45" s="46"/>
      <c r="AD45" s="46"/>
      <c r="AE45" s="46"/>
      <c r="AF45" s="46"/>
      <c r="AG45" s="46"/>
      <c r="AH45" s="46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</row>
    <row r="46" spans="6:170" s="7" customFormat="1">
      <c r="F46" s="41"/>
      <c r="I46" s="8"/>
      <c r="Z46" s="46"/>
      <c r="AA46" s="46"/>
      <c r="AB46" s="46"/>
      <c r="AC46" s="46"/>
      <c r="AD46" s="46"/>
      <c r="AE46" s="46"/>
      <c r="AF46" s="46"/>
      <c r="AG46" s="46"/>
      <c r="AH46" s="46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</row>
    <row r="47" spans="6:170" s="7" customFormat="1">
      <c r="F47" s="41"/>
      <c r="I47" s="8"/>
      <c r="Z47" s="46"/>
      <c r="AA47" s="46"/>
      <c r="AB47" s="46"/>
      <c r="AC47" s="46"/>
      <c r="AD47" s="46"/>
      <c r="AE47" s="46"/>
      <c r="AF47" s="46"/>
      <c r="AG47" s="46"/>
      <c r="AH47" s="46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</row>
    <row r="48" spans="6:170" s="7" customFormat="1">
      <c r="F48" s="41"/>
      <c r="I48" s="8"/>
      <c r="Z48" s="46"/>
      <c r="AA48" s="46"/>
      <c r="AB48" s="46"/>
      <c r="AC48" s="46"/>
      <c r="AD48" s="46"/>
      <c r="AE48" s="46"/>
      <c r="AF48" s="46"/>
      <c r="AG48" s="46"/>
      <c r="AH48" s="46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</row>
    <row r="49" spans="6:170" s="7" customFormat="1">
      <c r="F49" s="41"/>
      <c r="I49" s="8"/>
      <c r="Z49" s="46"/>
      <c r="AA49" s="46"/>
      <c r="AB49" s="46"/>
      <c r="AC49" s="46"/>
      <c r="AD49" s="46"/>
      <c r="AE49" s="46"/>
      <c r="AF49" s="46"/>
      <c r="AG49" s="46"/>
      <c r="AH49" s="46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</row>
    <row r="50" spans="6:170" s="7" customFormat="1">
      <c r="F50" s="41"/>
      <c r="I50" s="8"/>
      <c r="Z50" s="46"/>
      <c r="AA50" s="46"/>
      <c r="AB50" s="46"/>
      <c r="AC50" s="46"/>
      <c r="AD50" s="46"/>
      <c r="AE50" s="46"/>
      <c r="AF50" s="46"/>
      <c r="AG50" s="46"/>
      <c r="AH50" s="46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</row>
    <row r="51" spans="6:170" s="7" customFormat="1">
      <c r="F51" s="41"/>
      <c r="I51" s="8"/>
      <c r="Z51" s="46"/>
      <c r="AA51" s="46"/>
      <c r="AB51" s="46"/>
      <c r="AC51" s="46"/>
      <c r="AD51" s="46"/>
      <c r="AE51" s="46"/>
      <c r="AF51" s="46"/>
      <c r="AG51" s="46"/>
      <c r="AH51" s="46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</row>
    <row r="52" spans="6:170" s="7" customFormat="1">
      <c r="F52" s="41"/>
      <c r="I52" s="8"/>
      <c r="Z52" s="46"/>
      <c r="AA52" s="46"/>
      <c r="AB52" s="46"/>
      <c r="AC52" s="46"/>
      <c r="AD52" s="46"/>
      <c r="AE52" s="46"/>
      <c r="AF52" s="46"/>
      <c r="AG52" s="46"/>
      <c r="AH52" s="46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</row>
    <row r="53" spans="6:170" s="7" customFormat="1">
      <c r="F53" s="41"/>
      <c r="I53" s="8"/>
      <c r="Z53" s="46"/>
      <c r="AA53" s="46"/>
      <c r="AB53" s="46"/>
      <c r="AC53" s="46"/>
      <c r="AD53" s="46"/>
      <c r="AE53" s="46"/>
      <c r="AF53" s="46"/>
      <c r="AG53" s="46"/>
      <c r="AH53" s="46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</row>
    <row r="54" spans="6:170" s="7" customFormat="1">
      <c r="F54" s="41"/>
      <c r="I54" s="8"/>
      <c r="Z54" s="46"/>
      <c r="AA54" s="46"/>
      <c r="AB54" s="46"/>
      <c r="AC54" s="46"/>
      <c r="AD54" s="46"/>
      <c r="AE54" s="46"/>
      <c r="AF54" s="46"/>
      <c r="AG54" s="46"/>
      <c r="AH54" s="46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</row>
    <row r="55" spans="6:170" s="7" customFormat="1">
      <c r="F55" s="41"/>
      <c r="I55" s="8"/>
      <c r="Z55" s="46"/>
      <c r="AA55" s="46"/>
      <c r="AB55" s="46"/>
      <c r="AC55" s="46"/>
      <c r="AD55" s="46"/>
      <c r="AE55" s="46"/>
      <c r="AF55" s="46"/>
      <c r="AG55" s="46"/>
      <c r="AH55" s="46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</row>
    <row r="56" spans="6:170" s="7" customFormat="1">
      <c r="F56" s="41"/>
      <c r="I56" s="8"/>
      <c r="Z56" s="46"/>
      <c r="AA56" s="46"/>
      <c r="AB56" s="46"/>
      <c r="AC56" s="46"/>
      <c r="AD56" s="46"/>
      <c r="AE56" s="46"/>
      <c r="AF56" s="46"/>
      <c r="AG56" s="46"/>
      <c r="AH56" s="46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</row>
    <row r="57" spans="6:170" s="7" customFormat="1">
      <c r="F57" s="41"/>
      <c r="I57" s="8"/>
      <c r="Z57" s="46"/>
      <c r="AA57" s="46"/>
      <c r="AB57" s="46"/>
      <c r="AC57" s="46"/>
      <c r="AD57" s="46"/>
      <c r="AE57" s="46"/>
      <c r="AF57" s="46"/>
      <c r="AG57" s="46"/>
      <c r="AH57" s="46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</row>
    <row r="58" spans="6:170" s="7" customFormat="1">
      <c r="F58" s="41"/>
      <c r="I58" s="8"/>
      <c r="Z58" s="46"/>
      <c r="AA58" s="46"/>
      <c r="AB58" s="46"/>
      <c r="AC58" s="46"/>
      <c r="AD58" s="46"/>
      <c r="AE58" s="46"/>
      <c r="AF58" s="46"/>
      <c r="AG58" s="46"/>
      <c r="AH58" s="46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</row>
    <row r="59" spans="6:170" s="7" customFormat="1">
      <c r="F59" s="41"/>
      <c r="I59" s="8"/>
      <c r="Z59" s="46"/>
      <c r="AA59" s="46"/>
      <c r="AB59" s="46"/>
      <c r="AC59" s="46"/>
      <c r="AD59" s="46"/>
      <c r="AE59" s="46"/>
      <c r="AF59" s="46"/>
      <c r="AG59" s="46"/>
      <c r="AH59" s="46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</row>
    <row r="60" spans="6:170" s="7" customFormat="1">
      <c r="F60" s="41"/>
      <c r="I60" s="8"/>
      <c r="Z60" s="46"/>
      <c r="AA60" s="46"/>
      <c r="AB60" s="46"/>
      <c r="AC60" s="46"/>
      <c r="AD60" s="46"/>
      <c r="AE60" s="46"/>
      <c r="AF60" s="46"/>
      <c r="AG60" s="46"/>
      <c r="AH60" s="46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</row>
    <row r="61" spans="6:170" s="7" customFormat="1">
      <c r="F61" s="41"/>
      <c r="I61" s="8"/>
      <c r="Z61" s="46"/>
      <c r="AA61" s="46"/>
      <c r="AB61" s="46"/>
      <c r="AC61" s="46"/>
      <c r="AD61" s="46"/>
      <c r="AE61" s="46"/>
      <c r="AF61" s="46"/>
      <c r="AG61" s="46"/>
      <c r="AH61" s="46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</row>
    <row r="62" spans="6:170" s="7" customFormat="1">
      <c r="F62" s="41"/>
      <c r="I62" s="8"/>
      <c r="Z62" s="46"/>
      <c r="AA62" s="46"/>
      <c r="AB62" s="46"/>
      <c r="AC62" s="46"/>
      <c r="AD62" s="46"/>
      <c r="AE62" s="46"/>
      <c r="AF62" s="46"/>
      <c r="AG62" s="46"/>
      <c r="AH62" s="46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</row>
    <row r="63" spans="6:170" s="7" customFormat="1">
      <c r="F63" s="41"/>
      <c r="I63" s="8"/>
      <c r="Z63" s="46"/>
      <c r="AA63" s="46"/>
      <c r="AB63" s="46"/>
      <c r="AC63" s="46"/>
      <c r="AD63" s="46"/>
      <c r="AE63" s="46"/>
      <c r="AF63" s="46"/>
      <c r="AG63" s="46"/>
      <c r="AH63" s="46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</row>
    <row r="64" spans="6:170" s="7" customFormat="1">
      <c r="F64" s="41"/>
      <c r="I64" s="8"/>
      <c r="Z64" s="46"/>
      <c r="AA64" s="46"/>
      <c r="AB64" s="46"/>
      <c r="AC64" s="46"/>
      <c r="AD64" s="46"/>
      <c r="AE64" s="46"/>
      <c r="AF64" s="46"/>
      <c r="AG64" s="46"/>
      <c r="AH64" s="46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</row>
    <row r="65" spans="6:170" s="7" customFormat="1">
      <c r="F65" s="41"/>
      <c r="I65" s="8"/>
      <c r="Z65" s="46"/>
      <c r="AA65" s="46"/>
      <c r="AB65" s="46"/>
      <c r="AC65" s="46"/>
      <c r="AD65" s="46"/>
      <c r="AE65" s="46"/>
      <c r="AF65" s="46"/>
      <c r="AG65" s="46"/>
      <c r="AH65" s="46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</row>
    <row r="66" spans="6:170" s="7" customFormat="1">
      <c r="F66" s="41"/>
      <c r="I66" s="8"/>
      <c r="Z66" s="46"/>
      <c r="AA66" s="46"/>
      <c r="AB66" s="46"/>
      <c r="AC66" s="46"/>
      <c r="AD66" s="46"/>
      <c r="AE66" s="46"/>
      <c r="AF66" s="46"/>
      <c r="AG66" s="46"/>
      <c r="AH66" s="46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</row>
    <row r="67" spans="6:170" s="7" customFormat="1">
      <c r="F67" s="41"/>
      <c r="I67" s="8"/>
      <c r="Z67" s="46"/>
      <c r="AA67" s="46"/>
      <c r="AB67" s="46"/>
      <c r="AC67" s="46"/>
      <c r="AD67" s="46"/>
      <c r="AE67" s="46"/>
      <c r="AF67" s="46"/>
      <c r="AG67" s="46"/>
      <c r="AH67" s="46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</row>
    <row r="68" spans="6:170" s="7" customFormat="1">
      <c r="F68" s="41"/>
      <c r="I68" s="8"/>
      <c r="Z68" s="46"/>
      <c r="AA68" s="46"/>
      <c r="AB68" s="46"/>
      <c r="AC68" s="46"/>
      <c r="AD68" s="46"/>
      <c r="AE68" s="46"/>
      <c r="AF68" s="46"/>
      <c r="AG68" s="46"/>
      <c r="AH68" s="46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</row>
    <row r="69" spans="6:170" s="7" customFormat="1">
      <c r="F69" s="41"/>
      <c r="I69" s="8"/>
      <c r="Z69" s="46"/>
      <c r="AA69" s="46"/>
      <c r="AB69" s="46"/>
      <c r="AC69" s="46"/>
      <c r="AD69" s="46"/>
      <c r="AE69" s="46"/>
      <c r="AF69" s="46"/>
      <c r="AG69" s="46"/>
      <c r="AH69" s="46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</row>
    <row r="70" spans="6:170" s="7" customFormat="1">
      <c r="F70" s="41"/>
      <c r="I70" s="8"/>
      <c r="Z70" s="46"/>
      <c r="AA70" s="46"/>
      <c r="AB70" s="46"/>
      <c r="AC70" s="46"/>
      <c r="AD70" s="46"/>
      <c r="AE70" s="46"/>
      <c r="AF70" s="46"/>
      <c r="AG70" s="46"/>
      <c r="AH70" s="46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</row>
    <row r="71" spans="6:170" s="7" customFormat="1">
      <c r="F71" s="41"/>
      <c r="I71" s="8"/>
      <c r="Z71" s="46"/>
      <c r="AA71" s="46"/>
      <c r="AB71" s="46"/>
      <c r="AC71" s="46"/>
      <c r="AD71" s="46"/>
      <c r="AE71" s="46"/>
      <c r="AF71" s="46"/>
      <c r="AG71" s="46"/>
      <c r="AH71" s="46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</row>
    <row r="72" spans="6:170" s="7" customFormat="1">
      <c r="F72" s="41"/>
      <c r="I72" s="8"/>
      <c r="Z72" s="46"/>
      <c r="AA72" s="46"/>
      <c r="AB72" s="46"/>
      <c r="AC72" s="46"/>
      <c r="AD72" s="46"/>
      <c r="AE72" s="46"/>
      <c r="AF72" s="46"/>
      <c r="AG72" s="46"/>
      <c r="AH72" s="46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</row>
    <row r="73" spans="6:170" s="7" customFormat="1">
      <c r="F73" s="41"/>
      <c r="I73" s="8"/>
      <c r="Z73" s="46"/>
      <c r="AA73" s="46"/>
      <c r="AB73" s="46"/>
      <c r="AC73" s="46"/>
      <c r="AD73" s="46"/>
      <c r="AE73" s="46"/>
      <c r="AF73" s="46"/>
      <c r="AG73" s="46"/>
      <c r="AH73" s="46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</row>
    <row r="74" spans="6:170" s="7" customFormat="1">
      <c r="F74" s="41"/>
      <c r="I74" s="8"/>
      <c r="Z74" s="46"/>
      <c r="AA74" s="46"/>
      <c r="AB74" s="46"/>
      <c r="AC74" s="46"/>
      <c r="AD74" s="46"/>
      <c r="AE74" s="46"/>
      <c r="AF74" s="46"/>
      <c r="AG74" s="46"/>
      <c r="AH74" s="46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</row>
    <row r="75" spans="6:170" s="7" customFormat="1">
      <c r="F75" s="41"/>
      <c r="I75" s="8"/>
      <c r="Z75" s="46"/>
      <c r="AA75" s="46"/>
      <c r="AB75" s="46"/>
      <c r="AC75" s="46"/>
      <c r="AD75" s="46"/>
      <c r="AE75" s="46"/>
      <c r="AF75" s="46"/>
      <c r="AG75" s="46"/>
      <c r="AH75" s="46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</row>
    <row r="76" spans="6:170" s="7" customFormat="1">
      <c r="F76" s="41"/>
      <c r="I76" s="8"/>
      <c r="Z76" s="46"/>
      <c r="AA76" s="46"/>
      <c r="AB76" s="46"/>
      <c r="AC76" s="46"/>
      <c r="AD76" s="46"/>
      <c r="AE76" s="46"/>
      <c r="AF76" s="46"/>
      <c r="AG76" s="46"/>
      <c r="AH76" s="46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</row>
    <row r="77" spans="6:170" s="7" customFormat="1">
      <c r="F77" s="41"/>
      <c r="I77" s="8"/>
      <c r="Z77" s="46"/>
      <c r="AA77" s="46"/>
      <c r="AB77" s="46"/>
      <c r="AC77" s="46"/>
      <c r="AD77" s="46"/>
      <c r="AE77" s="46"/>
      <c r="AF77" s="46"/>
      <c r="AG77" s="46"/>
      <c r="AH77" s="46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</row>
    <row r="78" spans="6:170" s="7" customFormat="1">
      <c r="F78" s="41"/>
      <c r="I78" s="8"/>
      <c r="Z78" s="46"/>
      <c r="AA78" s="46"/>
      <c r="AB78" s="46"/>
      <c r="AC78" s="46"/>
      <c r="AD78" s="46"/>
      <c r="AE78" s="46"/>
      <c r="AF78" s="46"/>
      <c r="AG78" s="46"/>
      <c r="AH78" s="46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</row>
    <row r="79" spans="6:170" s="7" customFormat="1">
      <c r="F79" s="41"/>
      <c r="I79" s="8"/>
      <c r="Z79" s="46"/>
      <c r="AA79" s="46"/>
      <c r="AB79" s="46"/>
      <c r="AC79" s="46"/>
      <c r="AD79" s="46"/>
      <c r="AE79" s="46"/>
      <c r="AF79" s="46"/>
      <c r="AG79" s="46"/>
      <c r="AH79" s="46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</row>
    <row r="80" spans="6:170" s="7" customFormat="1">
      <c r="F80" s="41"/>
      <c r="I80" s="8"/>
      <c r="Z80" s="46"/>
      <c r="AA80" s="46"/>
      <c r="AB80" s="46"/>
      <c r="AC80" s="46"/>
      <c r="AD80" s="46"/>
      <c r="AE80" s="46"/>
      <c r="AF80" s="46"/>
      <c r="AG80" s="46"/>
      <c r="AH80" s="46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/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</row>
    <row r="81" spans="6:170" s="7" customFormat="1">
      <c r="F81" s="41"/>
      <c r="I81" s="8"/>
      <c r="Z81" s="46"/>
      <c r="AA81" s="46"/>
      <c r="AB81" s="46"/>
      <c r="AC81" s="46"/>
      <c r="AD81" s="46"/>
      <c r="AE81" s="46"/>
      <c r="AF81" s="46"/>
      <c r="AG81" s="46"/>
      <c r="AH81" s="46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</row>
    <row r="82" spans="6:170" s="7" customFormat="1">
      <c r="F82" s="41"/>
      <c r="I82" s="8"/>
      <c r="Z82" s="46"/>
      <c r="AA82" s="46"/>
      <c r="AB82" s="46"/>
      <c r="AC82" s="46"/>
      <c r="AD82" s="46"/>
      <c r="AE82" s="46"/>
      <c r="AF82" s="46"/>
      <c r="AG82" s="46"/>
      <c r="AH82" s="46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</row>
    <row r="83" spans="6:170" s="7" customFormat="1">
      <c r="F83" s="41"/>
      <c r="I83" s="8"/>
      <c r="Z83" s="46"/>
      <c r="AA83" s="46"/>
      <c r="AB83" s="46"/>
      <c r="AC83" s="46"/>
      <c r="AD83" s="46"/>
      <c r="AE83" s="46"/>
      <c r="AF83" s="46"/>
      <c r="AG83" s="46"/>
      <c r="AH83" s="46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</row>
    <row r="84" spans="6:170" s="7" customFormat="1">
      <c r="F84" s="41"/>
      <c r="I84" s="8"/>
      <c r="Z84" s="46"/>
      <c r="AA84" s="46"/>
      <c r="AB84" s="46"/>
      <c r="AC84" s="46"/>
      <c r="AD84" s="46"/>
      <c r="AE84" s="46"/>
      <c r="AF84" s="46"/>
      <c r="AG84" s="46"/>
      <c r="AH84" s="46"/>
      <c r="DA84" s="9"/>
      <c r="DB84" s="9"/>
      <c r="DC84" s="9"/>
      <c r="DD84" s="9"/>
      <c r="DE84" s="9"/>
      <c r="DF84" s="9"/>
      <c r="DG84" s="9"/>
      <c r="DH84" s="9"/>
      <c r="DI84" s="9"/>
      <c r="DJ84" s="9"/>
      <c r="DK84" s="9"/>
      <c r="DL84" s="9"/>
      <c r="DM84" s="9"/>
      <c r="DN84" s="9"/>
      <c r="DO84" s="9"/>
      <c r="DP84" s="9"/>
      <c r="DQ84" s="9"/>
      <c r="DR84" s="9"/>
      <c r="DS84" s="9"/>
      <c r="DT84" s="9"/>
      <c r="DU84" s="9"/>
      <c r="DV84" s="9"/>
      <c r="DW84" s="9"/>
      <c r="DX84" s="9"/>
      <c r="DY84" s="9"/>
      <c r="DZ84" s="9"/>
      <c r="EA84" s="9"/>
      <c r="EB84" s="9"/>
      <c r="EC84" s="9"/>
      <c r="ED84" s="9"/>
      <c r="EE84" s="9"/>
      <c r="EF84" s="9"/>
      <c r="EG84" s="9"/>
      <c r="EH84" s="9"/>
      <c r="EI84" s="9"/>
      <c r="EJ84" s="9"/>
      <c r="EK84" s="9"/>
      <c r="EL84" s="9"/>
      <c r="EM84" s="9"/>
      <c r="EN84" s="9"/>
      <c r="EO84" s="9"/>
      <c r="EP84" s="9"/>
      <c r="EQ84" s="9"/>
      <c r="ER84" s="9"/>
      <c r="ES84" s="9"/>
      <c r="ET84" s="9"/>
      <c r="EU84" s="9"/>
      <c r="EV84" s="9"/>
      <c r="EW84" s="9"/>
      <c r="EX84" s="9"/>
      <c r="EY84" s="9"/>
      <c r="EZ84" s="9"/>
      <c r="FA84" s="9"/>
      <c r="FB84" s="9"/>
      <c r="FC84" s="9"/>
      <c r="FD84" s="9"/>
      <c r="FE84" s="9"/>
      <c r="FF84" s="9"/>
      <c r="FG84" s="9"/>
      <c r="FH84" s="9"/>
      <c r="FI84" s="9"/>
      <c r="FJ84" s="9"/>
      <c r="FK84" s="9"/>
      <c r="FL84" s="9"/>
      <c r="FM84" s="9"/>
      <c r="FN84" s="9"/>
    </row>
    <row r="85" spans="6:170" s="7" customFormat="1">
      <c r="F85" s="41"/>
      <c r="I85" s="8"/>
      <c r="Z85" s="46"/>
      <c r="AA85" s="46"/>
      <c r="AB85" s="46"/>
      <c r="AC85" s="46"/>
      <c r="AD85" s="46"/>
      <c r="AE85" s="46"/>
      <c r="AF85" s="46"/>
      <c r="AG85" s="46"/>
      <c r="AH85" s="46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</row>
    <row r="86" spans="6:170" s="7" customFormat="1">
      <c r="F86" s="41"/>
      <c r="I86" s="8"/>
      <c r="Z86" s="46"/>
      <c r="AA86" s="46"/>
      <c r="AB86" s="46"/>
      <c r="AC86" s="46"/>
      <c r="AD86" s="46"/>
      <c r="AE86" s="46"/>
      <c r="AF86" s="46"/>
      <c r="AG86" s="46"/>
      <c r="AH86" s="46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/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</row>
    <row r="87" spans="6:170" s="7" customFormat="1">
      <c r="F87" s="41"/>
      <c r="I87" s="8"/>
      <c r="Z87" s="46"/>
      <c r="AA87" s="46"/>
      <c r="AB87" s="46"/>
      <c r="AC87" s="46"/>
      <c r="AD87" s="46"/>
      <c r="AE87" s="46"/>
      <c r="AF87" s="46"/>
      <c r="AG87" s="46"/>
      <c r="AH87" s="46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</row>
  </sheetData>
  <mergeCells count="39">
    <mergeCell ref="A4:S4"/>
    <mergeCell ref="CW1:CY1"/>
    <mergeCell ref="Z1:AL1"/>
    <mergeCell ref="AM1:CD1"/>
    <mergeCell ref="CE1:CM1"/>
    <mergeCell ref="CN1:CS1"/>
    <mergeCell ref="CT1:CV1"/>
    <mergeCell ref="J8:K8"/>
    <mergeCell ref="J9:K9"/>
    <mergeCell ref="J10:K10"/>
    <mergeCell ref="W2:W3"/>
    <mergeCell ref="X2:X3"/>
    <mergeCell ref="S2:S3"/>
    <mergeCell ref="T2:T3"/>
    <mergeCell ref="U2:U3"/>
    <mergeCell ref="V2:V3"/>
    <mergeCell ref="N2:N3"/>
    <mergeCell ref="P2:P3"/>
    <mergeCell ref="J5:K5"/>
    <mergeCell ref="J6:K6"/>
    <mergeCell ref="J7:K7"/>
    <mergeCell ref="O2:O3"/>
    <mergeCell ref="R2:R3"/>
    <mergeCell ref="F2:F3"/>
    <mergeCell ref="G2:G3"/>
    <mergeCell ref="H2:H3"/>
    <mergeCell ref="A1:W1"/>
    <mergeCell ref="X1:Y1"/>
    <mergeCell ref="A2:A3"/>
    <mergeCell ref="B2:B3"/>
    <mergeCell ref="C2:C3"/>
    <mergeCell ref="D2:D3"/>
    <mergeCell ref="E2:E3"/>
    <mergeCell ref="I2:I3"/>
    <mergeCell ref="J2:J3"/>
    <mergeCell ref="K2:K3"/>
    <mergeCell ref="L2:L3"/>
    <mergeCell ref="M2:M3"/>
    <mergeCell ref="Y2:Y3"/>
  </mergeCells>
  <printOptions horizontalCentered="1"/>
  <pageMargins left="0" right="0" top="0" bottom="0" header="0.3" footer="0.3"/>
  <pageSetup paperSize="9" scale="18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00CDA-A2AD-48DD-86B9-B62DCAF641A0}">
  <sheetPr>
    <tabColor rgb="FF00B050"/>
    <pageSetUpPr fitToPage="1"/>
  </sheetPr>
  <dimension ref="A1:DQ20"/>
  <sheetViews>
    <sheetView tabSelected="1" view="pageBreakPreview" zoomScale="85" zoomScaleNormal="55" zoomScaleSheetLayoutView="85" workbookViewId="0">
      <pane ySplit="3" topLeftCell="A4" activePane="bottomLeft" state="frozen"/>
      <selection activeCell="L15" sqref="L15"/>
      <selection pane="bottomLeft" activeCell="K21" sqref="K21"/>
    </sheetView>
  </sheetViews>
  <sheetFormatPr defaultColWidth="9.140625" defaultRowHeight="12"/>
  <cols>
    <col min="1" max="1" width="16.85546875" style="7" customWidth="1"/>
    <col min="2" max="2" width="8.7109375" style="7" bestFit="1" customWidth="1"/>
    <col min="3" max="3" width="15.28515625" style="7" customWidth="1"/>
    <col min="4" max="5" width="13.85546875" style="7" customWidth="1"/>
    <col min="6" max="6" width="9" style="7" customWidth="1"/>
    <col min="7" max="8" width="13.85546875" style="7" customWidth="1"/>
    <col min="9" max="9" width="9" style="7" customWidth="1"/>
    <col min="10" max="10" width="8" style="7" customWidth="1"/>
    <col min="11" max="11" width="22.42578125" style="7" bestFit="1" customWidth="1"/>
    <col min="12" max="12" width="37.140625" style="7" bestFit="1" customWidth="1"/>
    <col min="13" max="13" width="21.7109375" style="7" customWidth="1"/>
    <col min="14" max="14" width="23.5703125" style="7" customWidth="1"/>
    <col min="15" max="15" width="11.140625" style="7" customWidth="1"/>
    <col min="16" max="16" width="6.140625" style="7" customWidth="1"/>
    <col min="17" max="17" width="6" style="7" customWidth="1"/>
    <col min="18" max="18" width="8.42578125" style="41" customWidth="1"/>
    <col min="19" max="19" width="10.28515625" style="7" customWidth="1"/>
    <col min="20" max="20" width="6.28515625" style="7" customWidth="1"/>
    <col min="21" max="53" width="8.7109375" style="7" customWidth="1"/>
    <col min="54" max="55" width="8.7109375" style="9" customWidth="1"/>
    <col min="56" max="16384" width="9.140625" style="9"/>
  </cols>
  <sheetData>
    <row r="1" spans="1:121" s="1" customFormat="1" ht="24" customHeight="1" thickBot="1">
      <c r="A1" s="166" t="s">
        <v>0</v>
      </c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7"/>
      <c r="N1" s="167"/>
      <c r="O1" s="167"/>
      <c r="P1" s="167"/>
      <c r="Q1" s="167"/>
      <c r="R1" s="168"/>
      <c r="S1" s="169" t="s">
        <v>1</v>
      </c>
      <c r="T1" s="169"/>
      <c r="U1" s="163" t="s">
        <v>165</v>
      </c>
      <c r="V1" s="164"/>
      <c r="W1" s="164"/>
      <c r="X1" s="164"/>
      <c r="Y1" s="164"/>
      <c r="Z1" s="165"/>
      <c r="AA1" s="163" t="s">
        <v>166</v>
      </c>
      <c r="AB1" s="164"/>
      <c r="AC1" s="164"/>
      <c r="AD1" s="164"/>
      <c r="AE1" s="164"/>
      <c r="AF1" s="164"/>
      <c r="AG1" s="164"/>
      <c r="AH1" s="164"/>
      <c r="AI1" s="164"/>
      <c r="AJ1" s="164"/>
      <c r="AK1" s="164"/>
      <c r="AL1" s="164"/>
      <c r="AM1" s="164"/>
      <c r="AN1" s="164"/>
      <c r="AO1" s="165"/>
      <c r="AP1" s="163" t="s">
        <v>167</v>
      </c>
      <c r="AQ1" s="164"/>
      <c r="AR1" s="164"/>
      <c r="AS1" s="164"/>
      <c r="AT1" s="165"/>
      <c r="AU1" s="163" t="s">
        <v>168</v>
      </c>
      <c r="AV1" s="164"/>
      <c r="AW1" s="164"/>
      <c r="AX1" s="164"/>
      <c r="AY1" s="164"/>
      <c r="AZ1" s="165"/>
      <c r="BA1" s="163" t="s">
        <v>169</v>
      </c>
      <c r="BB1" s="164"/>
      <c r="BC1" s="165"/>
    </row>
    <row r="2" spans="1:121" s="1" customFormat="1" ht="140.44999999999999" customHeight="1" thickBot="1">
      <c r="A2" s="152" t="s">
        <v>2</v>
      </c>
      <c r="B2" s="152" t="s">
        <v>3</v>
      </c>
      <c r="C2" s="152" t="s">
        <v>4</v>
      </c>
      <c r="D2" s="152" t="s">
        <v>23</v>
      </c>
      <c r="E2" s="152" t="s">
        <v>24</v>
      </c>
      <c r="F2" s="54" t="s">
        <v>7</v>
      </c>
      <c r="G2" s="152" t="s">
        <v>5</v>
      </c>
      <c r="H2" s="152" t="s">
        <v>6</v>
      </c>
      <c r="I2" s="54" t="s">
        <v>7</v>
      </c>
      <c r="J2" s="151" t="s">
        <v>8</v>
      </c>
      <c r="K2" s="152" t="s">
        <v>26</v>
      </c>
      <c r="L2" s="54" t="s">
        <v>31</v>
      </c>
      <c r="M2" s="152" t="s">
        <v>10</v>
      </c>
      <c r="N2" s="54" t="s">
        <v>11</v>
      </c>
      <c r="O2" s="152" t="s">
        <v>12</v>
      </c>
      <c r="P2" s="152" t="s">
        <v>14</v>
      </c>
      <c r="Q2" s="157" t="s">
        <v>15</v>
      </c>
      <c r="R2" s="153" t="s">
        <v>16</v>
      </c>
      <c r="S2" s="154" t="s">
        <v>17</v>
      </c>
      <c r="T2" s="170" t="s">
        <v>18</v>
      </c>
      <c r="U2" s="172" t="s">
        <v>32</v>
      </c>
      <c r="V2" s="173" t="s">
        <v>33</v>
      </c>
      <c r="W2" s="173" t="s">
        <v>34</v>
      </c>
      <c r="X2" s="173" t="s">
        <v>35</v>
      </c>
      <c r="Y2" s="173" t="s">
        <v>36</v>
      </c>
      <c r="Z2" s="174" t="s">
        <v>37</v>
      </c>
      <c r="AA2" s="172" t="s">
        <v>38</v>
      </c>
      <c r="AB2" s="173" t="s">
        <v>39</v>
      </c>
      <c r="AC2" s="173" t="s">
        <v>40</v>
      </c>
      <c r="AD2" s="173" t="s">
        <v>41</v>
      </c>
      <c r="AE2" s="173" t="s">
        <v>42</v>
      </c>
      <c r="AF2" s="173" t="s">
        <v>43</v>
      </c>
      <c r="AG2" s="173" t="s">
        <v>44</v>
      </c>
      <c r="AH2" s="173" t="s">
        <v>45</v>
      </c>
      <c r="AI2" s="173" t="s">
        <v>46</v>
      </c>
      <c r="AJ2" s="173" t="s">
        <v>47</v>
      </c>
      <c r="AK2" s="173" t="s">
        <v>48</v>
      </c>
      <c r="AL2" s="173" t="s">
        <v>49</v>
      </c>
      <c r="AM2" s="173" t="s">
        <v>50</v>
      </c>
      <c r="AN2" s="173" t="s">
        <v>51</v>
      </c>
      <c r="AO2" s="174" t="s">
        <v>52</v>
      </c>
      <c r="AP2" s="172" t="s">
        <v>53</v>
      </c>
      <c r="AQ2" s="173" t="s">
        <v>54</v>
      </c>
      <c r="AR2" s="173" t="s">
        <v>55</v>
      </c>
      <c r="AS2" s="173" t="s">
        <v>56</v>
      </c>
      <c r="AT2" s="174" t="s">
        <v>57</v>
      </c>
      <c r="AU2" s="172" t="s">
        <v>58</v>
      </c>
      <c r="AV2" s="173" t="s">
        <v>59</v>
      </c>
      <c r="AW2" s="175" t="s">
        <v>60</v>
      </c>
      <c r="AX2" s="175" t="s">
        <v>61</v>
      </c>
      <c r="AY2" s="175" t="s">
        <v>62</v>
      </c>
      <c r="AZ2" s="176" t="s">
        <v>63</v>
      </c>
      <c r="BA2" s="177" t="s">
        <v>64</v>
      </c>
      <c r="BB2" s="175" t="s">
        <v>65</v>
      </c>
      <c r="BC2" s="176" t="s">
        <v>37</v>
      </c>
    </row>
    <row r="3" spans="1:121" s="1" customFormat="1" ht="21" hidden="1" customHeight="1" thickBot="1">
      <c r="A3" s="152"/>
      <c r="B3" s="152"/>
      <c r="C3" s="152"/>
      <c r="D3" s="152"/>
      <c r="E3" s="152"/>
      <c r="F3" s="54"/>
      <c r="G3" s="152"/>
      <c r="H3" s="152"/>
      <c r="I3" s="54"/>
      <c r="J3" s="151"/>
      <c r="K3" s="152"/>
      <c r="L3" s="54"/>
      <c r="M3" s="152"/>
      <c r="N3" s="54"/>
      <c r="O3" s="152"/>
      <c r="P3" s="152"/>
      <c r="Q3" s="157"/>
      <c r="R3" s="153"/>
      <c r="S3" s="155"/>
      <c r="T3" s="156"/>
      <c r="U3" s="171" t="e">
        <f>U4/$R$4</f>
        <v>#DIV/0!</v>
      </c>
      <c r="V3" s="171" t="e">
        <f t="shared" ref="V3:BC3" si="0">V4/$R$4</f>
        <v>#DIV/0!</v>
      </c>
      <c r="W3" s="171" t="e">
        <f t="shared" si="0"/>
        <v>#DIV/0!</v>
      </c>
      <c r="X3" s="171" t="e">
        <f t="shared" si="0"/>
        <v>#DIV/0!</v>
      </c>
      <c r="Y3" s="171" t="e">
        <f t="shared" si="0"/>
        <v>#DIV/0!</v>
      </c>
      <c r="Z3" s="171" t="e">
        <f t="shared" si="0"/>
        <v>#DIV/0!</v>
      </c>
      <c r="AA3" s="171" t="e">
        <f t="shared" si="0"/>
        <v>#DIV/0!</v>
      </c>
      <c r="AB3" s="171" t="e">
        <f t="shared" si="0"/>
        <v>#DIV/0!</v>
      </c>
      <c r="AC3" s="171" t="e">
        <f t="shared" si="0"/>
        <v>#DIV/0!</v>
      </c>
      <c r="AD3" s="171" t="e">
        <f t="shared" si="0"/>
        <v>#DIV/0!</v>
      </c>
      <c r="AE3" s="171" t="e">
        <f>AE4/$R$4</f>
        <v>#DIV/0!</v>
      </c>
      <c r="AF3" s="171" t="e">
        <f t="shared" si="0"/>
        <v>#DIV/0!</v>
      </c>
      <c r="AG3" s="171" t="e">
        <f t="shared" si="0"/>
        <v>#DIV/0!</v>
      </c>
      <c r="AH3" s="171" t="e">
        <f t="shared" si="0"/>
        <v>#DIV/0!</v>
      </c>
      <c r="AI3" s="171" t="e">
        <f t="shared" si="0"/>
        <v>#DIV/0!</v>
      </c>
      <c r="AJ3" s="171" t="e">
        <f t="shared" si="0"/>
        <v>#DIV/0!</v>
      </c>
      <c r="AK3" s="171" t="e">
        <f t="shared" si="0"/>
        <v>#DIV/0!</v>
      </c>
      <c r="AL3" s="171" t="e">
        <f t="shared" si="0"/>
        <v>#DIV/0!</v>
      </c>
      <c r="AM3" s="171" t="e">
        <f t="shared" si="0"/>
        <v>#DIV/0!</v>
      </c>
      <c r="AN3" s="171" t="e">
        <f t="shared" si="0"/>
        <v>#DIV/0!</v>
      </c>
      <c r="AO3" s="171" t="e">
        <f t="shared" si="0"/>
        <v>#DIV/0!</v>
      </c>
      <c r="AP3" s="171" t="e">
        <f t="shared" si="0"/>
        <v>#DIV/0!</v>
      </c>
      <c r="AQ3" s="171" t="e">
        <f t="shared" si="0"/>
        <v>#DIV/0!</v>
      </c>
      <c r="AR3" s="171" t="e">
        <f t="shared" si="0"/>
        <v>#DIV/0!</v>
      </c>
      <c r="AS3" s="171" t="e">
        <f t="shared" si="0"/>
        <v>#DIV/0!</v>
      </c>
      <c r="AT3" s="171" t="e">
        <f t="shared" si="0"/>
        <v>#DIV/0!</v>
      </c>
      <c r="AU3" s="171" t="e">
        <f t="shared" si="0"/>
        <v>#DIV/0!</v>
      </c>
      <c r="AV3" s="171" t="e">
        <f t="shared" si="0"/>
        <v>#DIV/0!</v>
      </c>
      <c r="AW3" s="171" t="e">
        <f t="shared" si="0"/>
        <v>#DIV/0!</v>
      </c>
      <c r="AX3" s="171" t="e">
        <f t="shared" si="0"/>
        <v>#DIV/0!</v>
      </c>
      <c r="AY3" s="171" t="e">
        <f t="shared" si="0"/>
        <v>#DIV/0!</v>
      </c>
      <c r="AZ3" s="171" t="e">
        <f t="shared" si="0"/>
        <v>#DIV/0!</v>
      </c>
      <c r="BA3" s="171" t="e">
        <f t="shared" si="0"/>
        <v>#DIV/0!</v>
      </c>
      <c r="BB3" s="171" t="e">
        <f t="shared" si="0"/>
        <v>#DIV/0!</v>
      </c>
      <c r="BC3" s="171" t="e">
        <f t="shared" si="0"/>
        <v>#DIV/0!</v>
      </c>
    </row>
    <row r="4" spans="1:121" s="1" customFormat="1" ht="22.5" customHeight="1" thickBot="1">
      <c r="A4" s="161" t="s">
        <v>19</v>
      </c>
      <c r="B4" s="162"/>
      <c r="C4" s="162"/>
      <c r="D4" s="162"/>
      <c r="E4" s="162"/>
      <c r="F4" s="162"/>
      <c r="G4" s="162"/>
      <c r="H4" s="162"/>
      <c r="I4" s="162"/>
      <c r="J4" s="162"/>
      <c r="K4" s="162"/>
      <c r="L4" s="162"/>
      <c r="M4" s="162"/>
      <c r="N4" s="162"/>
      <c r="O4" s="162"/>
      <c r="P4" s="55">
        <f>SUM(P5:P12)</f>
        <v>0</v>
      </c>
      <c r="Q4" s="55"/>
      <c r="R4" s="56">
        <f>SUM(R5:R12)</f>
        <v>0</v>
      </c>
      <c r="S4" s="57" t="e">
        <f>R4/P4</f>
        <v>#DIV/0!</v>
      </c>
      <c r="T4" s="55">
        <f t="shared" ref="T4:BC4" si="1">SUM(T5:T12)</f>
        <v>0</v>
      </c>
      <c r="U4" s="55">
        <f t="shared" si="1"/>
        <v>0</v>
      </c>
      <c r="V4" s="55">
        <f t="shared" si="1"/>
        <v>0</v>
      </c>
      <c r="W4" s="55">
        <f t="shared" si="1"/>
        <v>0</v>
      </c>
      <c r="X4" s="55">
        <f t="shared" si="1"/>
        <v>0</v>
      </c>
      <c r="Y4" s="55">
        <f t="shared" si="1"/>
        <v>0</v>
      </c>
      <c r="Z4" s="55">
        <f t="shared" si="1"/>
        <v>0</v>
      </c>
      <c r="AA4" s="55">
        <f t="shared" si="1"/>
        <v>0</v>
      </c>
      <c r="AB4" s="55">
        <f t="shared" si="1"/>
        <v>0</v>
      </c>
      <c r="AC4" s="55">
        <f t="shared" si="1"/>
        <v>0</v>
      </c>
      <c r="AD4" s="55">
        <f t="shared" si="1"/>
        <v>0</v>
      </c>
      <c r="AE4" s="55">
        <f t="shared" si="1"/>
        <v>0</v>
      </c>
      <c r="AF4" s="55">
        <f t="shared" si="1"/>
        <v>0</v>
      </c>
      <c r="AG4" s="55">
        <f t="shared" si="1"/>
        <v>0</v>
      </c>
      <c r="AH4" s="55">
        <f t="shared" si="1"/>
        <v>0</v>
      </c>
      <c r="AI4" s="55">
        <f t="shared" si="1"/>
        <v>0</v>
      </c>
      <c r="AJ4" s="55">
        <f t="shared" si="1"/>
        <v>0</v>
      </c>
      <c r="AK4" s="55">
        <f t="shared" si="1"/>
        <v>0</v>
      </c>
      <c r="AL4" s="55">
        <f t="shared" si="1"/>
        <v>0</v>
      </c>
      <c r="AM4" s="55">
        <f t="shared" si="1"/>
        <v>0</v>
      </c>
      <c r="AN4" s="55">
        <f t="shared" si="1"/>
        <v>0</v>
      </c>
      <c r="AO4" s="55">
        <f t="shared" si="1"/>
        <v>0</v>
      </c>
      <c r="AP4" s="55">
        <f t="shared" si="1"/>
        <v>0</v>
      </c>
      <c r="AQ4" s="55">
        <f t="shared" si="1"/>
        <v>0</v>
      </c>
      <c r="AR4" s="55">
        <f t="shared" si="1"/>
        <v>0</v>
      </c>
      <c r="AS4" s="55">
        <f t="shared" si="1"/>
        <v>0</v>
      </c>
      <c r="AT4" s="55">
        <f t="shared" si="1"/>
        <v>0</v>
      </c>
      <c r="AU4" s="55">
        <f t="shared" si="1"/>
        <v>0</v>
      </c>
      <c r="AV4" s="55">
        <f t="shared" si="1"/>
        <v>0</v>
      </c>
      <c r="AW4" s="55">
        <f t="shared" si="1"/>
        <v>0</v>
      </c>
      <c r="AX4" s="55">
        <f t="shared" si="1"/>
        <v>0</v>
      </c>
      <c r="AY4" s="55">
        <f t="shared" si="1"/>
        <v>0</v>
      </c>
      <c r="AZ4" s="55">
        <f t="shared" si="1"/>
        <v>0</v>
      </c>
      <c r="BA4" s="55">
        <f t="shared" si="1"/>
        <v>0</v>
      </c>
      <c r="BB4" s="55">
        <f t="shared" si="1"/>
        <v>0</v>
      </c>
      <c r="BC4" s="58">
        <f t="shared" si="1"/>
        <v>0</v>
      </c>
    </row>
    <row r="5" spans="1:121" s="6" customFormat="1" ht="23.25" customHeight="1">
      <c r="A5" s="10"/>
      <c r="B5" s="10"/>
      <c r="C5" s="10" t="s">
        <v>66</v>
      </c>
      <c r="D5" s="39"/>
      <c r="E5" s="2"/>
      <c r="F5" s="52">
        <f>IF(E5&gt;=D5,E5-D5,E5-D5+1)</f>
        <v>0</v>
      </c>
      <c r="G5" s="39"/>
      <c r="H5" s="2"/>
      <c r="I5" s="52">
        <f>IF(H5&gt;=G5,H5-G5,H5-G5+1)</f>
        <v>0</v>
      </c>
      <c r="J5" s="111" t="s">
        <v>67</v>
      </c>
      <c r="K5" s="112"/>
      <c r="L5" s="112"/>
      <c r="M5" s="113"/>
      <c r="N5" s="112"/>
      <c r="O5" s="53">
        <f>IF(LEFT(M5,2)="01","JAPAN",IF(LEFT(M5,2)="03","CHINA",IF(LEFT(M5,2)="07","EUROPE",IF(LEFT(M5,2)="14","AU",IF(LEFT(M5,2)="17","CANADA",IF(LEFT(M5,2)="36","INDIA",IF(LEFT(M5,2)="04","USA",IF(LEFT(M5,2)="27","MALAYSIA",IF(LEFT(M5,2)="05","KOREA",IF(LEFT(M5,2)="11","THAILAND",IF(LEFT(M5,2)="10","TAIWAN",)))))))))))</f>
        <v>0</v>
      </c>
      <c r="P5" s="114"/>
      <c r="Q5" s="111" t="s">
        <v>67</v>
      </c>
      <c r="R5" s="115">
        <f>SUM(U5:BC5)</f>
        <v>0</v>
      </c>
      <c r="S5" s="116" t="e">
        <f t="shared" ref="S5" si="2">R5/P5</f>
        <v>#DIV/0!</v>
      </c>
      <c r="T5" s="117"/>
      <c r="U5" s="118"/>
      <c r="V5" s="118"/>
      <c r="W5" s="118"/>
      <c r="X5" s="118"/>
      <c r="Y5" s="118"/>
      <c r="Z5" s="118"/>
      <c r="AA5" s="118"/>
      <c r="AB5" s="118"/>
      <c r="AC5" s="118"/>
      <c r="AD5" s="118"/>
      <c r="AE5" s="118"/>
      <c r="AF5" s="118"/>
      <c r="AG5" s="118"/>
      <c r="AH5" s="118"/>
      <c r="AI5" s="118"/>
      <c r="AJ5" s="118"/>
      <c r="AK5" s="118"/>
      <c r="AL5" s="118"/>
      <c r="AM5" s="118"/>
      <c r="AN5" s="118"/>
      <c r="AO5" s="118"/>
      <c r="AP5" s="118"/>
      <c r="AQ5" s="118"/>
      <c r="AR5" s="118"/>
      <c r="AS5" s="118"/>
      <c r="AT5" s="118"/>
      <c r="AU5" s="118"/>
      <c r="AV5" s="118"/>
      <c r="AW5" s="118"/>
      <c r="AX5" s="118"/>
      <c r="AY5" s="118"/>
      <c r="AZ5" s="118"/>
      <c r="BA5" s="118"/>
      <c r="BB5" s="118"/>
      <c r="BC5" s="118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</row>
    <row r="6" spans="1:121" s="6" customFormat="1" ht="23.25" customHeight="1">
      <c r="A6" s="10"/>
      <c r="B6" s="10"/>
      <c r="C6" s="10" t="s">
        <v>66</v>
      </c>
      <c r="D6" s="39"/>
      <c r="E6" s="2"/>
      <c r="F6" s="52">
        <f t="shared" ref="F6:F12" si="3">IF(E6&gt;=D6,E6-D6,E6-D6+1)</f>
        <v>0</v>
      </c>
      <c r="G6" s="39"/>
      <c r="H6" s="2"/>
      <c r="I6" s="52">
        <f t="shared" ref="I6:I12" si="4">IF(H6&gt;=G6,H6-G6,H6-G6+1)</f>
        <v>0</v>
      </c>
      <c r="J6" s="111" t="s">
        <v>67</v>
      </c>
      <c r="K6" s="112"/>
      <c r="L6" s="112"/>
      <c r="M6" s="113"/>
      <c r="N6" s="112"/>
      <c r="O6" s="53">
        <f t="shared" ref="O6:O12" si="5">IF(LEFT(M6,2)="01","JAPAN",IF(LEFT(M6,2)="03","CHINA",IF(LEFT(M6,2)="07","EUROPE",IF(LEFT(M6,2)="14","AU",IF(LEFT(M6,2)="17","CANADA",IF(LEFT(M6,2)="36","INDIA",IF(LEFT(M6,2)="04","USA",IF(LEFT(M6,2)="27","MALAYSIA",IF(LEFT(M6,2)="05","KOREA",IF(LEFT(M6,2)="11","THAILAND",IF(LEFT(M6,2)="10","TAIWAN",)))))))))))</f>
        <v>0</v>
      </c>
      <c r="P6" s="114"/>
      <c r="Q6" s="111" t="s">
        <v>67</v>
      </c>
      <c r="R6" s="115">
        <f t="shared" ref="R6:R8" si="6">SUM(U6:BC6)</f>
        <v>0</v>
      </c>
      <c r="S6" s="116" t="e">
        <f t="shared" ref="S6:S8" si="7">R6/P6</f>
        <v>#DIV/0!</v>
      </c>
      <c r="T6" s="117"/>
      <c r="U6" s="118"/>
      <c r="V6" s="118"/>
      <c r="W6" s="118"/>
      <c r="X6" s="118"/>
      <c r="Y6" s="118"/>
      <c r="Z6" s="118"/>
      <c r="AA6" s="118"/>
      <c r="AB6" s="118"/>
      <c r="AC6" s="118"/>
      <c r="AD6" s="118"/>
      <c r="AE6" s="118"/>
      <c r="AF6" s="118"/>
      <c r="AG6" s="118"/>
      <c r="AH6" s="118"/>
      <c r="AI6" s="118"/>
      <c r="AJ6" s="118"/>
      <c r="AK6" s="118"/>
      <c r="AL6" s="118"/>
      <c r="AM6" s="118"/>
      <c r="AN6" s="118"/>
      <c r="AO6" s="118"/>
      <c r="AP6" s="118"/>
      <c r="AQ6" s="118"/>
      <c r="AR6" s="118"/>
      <c r="AS6" s="118"/>
      <c r="AT6" s="118"/>
      <c r="AU6" s="118"/>
      <c r="AV6" s="118"/>
      <c r="AW6" s="118"/>
      <c r="AX6" s="118"/>
      <c r="AY6" s="118"/>
      <c r="AZ6" s="118"/>
      <c r="BA6" s="118"/>
      <c r="BB6" s="118"/>
      <c r="BC6" s="118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</row>
    <row r="7" spans="1:121" s="6" customFormat="1" ht="23.25" customHeight="1">
      <c r="A7" s="10"/>
      <c r="B7" s="10"/>
      <c r="C7" s="10" t="s">
        <v>66</v>
      </c>
      <c r="D7" s="39"/>
      <c r="E7" s="2"/>
      <c r="F7" s="52">
        <f t="shared" si="3"/>
        <v>0</v>
      </c>
      <c r="G7" s="39"/>
      <c r="H7" s="2"/>
      <c r="I7" s="52">
        <f t="shared" si="4"/>
        <v>0</v>
      </c>
      <c r="J7" s="111" t="s">
        <v>67</v>
      </c>
      <c r="K7" s="112"/>
      <c r="L7" s="112"/>
      <c r="M7" s="113"/>
      <c r="N7" s="112"/>
      <c r="O7" s="53">
        <f t="shared" si="5"/>
        <v>0</v>
      </c>
      <c r="P7" s="114"/>
      <c r="Q7" s="111" t="s">
        <v>67</v>
      </c>
      <c r="R7" s="115">
        <f t="shared" si="6"/>
        <v>0</v>
      </c>
      <c r="S7" s="116" t="e">
        <f t="shared" si="7"/>
        <v>#DIV/0!</v>
      </c>
      <c r="T7" s="117"/>
      <c r="U7" s="118"/>
      <c r="V7" s="118"/>
      <c r="W7" s="118"/>
      <c r="X7" s="118"/>
      <c r="Y7" s="118"/>
      <c r="Z7" s="118"/>
      <c r="AA7" s="118"/>
      <c r="AB7" s="118"/>
      <c r="AC7" s="118"/>
      <c r="AD7" s="118"/>
      <c r="AE7" s="118"/>
      <c r="AF7" s="118"/>
      <c r="AG7" s="118"/>
      <c r="AH7" s="118"/>
      <c r="AI7" s="118"/>
      <c r="AJ7" s="118"/>
      <c r="AK7" s="118"/>
      <c r="AL7" s="118"/>
      <c r="AM7" s="118"/>
      <c r="AN7" s="118"/>
      <c r="AO7" s="118"/>
      <c r="AP7" s="118"/>
      <c r="AQ7" s="118"/>
      <c r="AR7" s="118"/>
      <c r="AS7" s="118"/>
      <c r="AT7" s="118"/>
      <c r="AU7" s="118"/>
      <c r="AV7" s="118"/>
      <c r="AW7" s="118"/>
      <c r="AX7" s="118"/>
      <c r="AY7" s="118"/>
      <c r="AZ7" s="118"/>
      <c r="BA7" s="118"/>
      <c r="BB7" s="118"/>
      <c r="BC7" s="118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</row>
    <row r="8" spans="1:121" s="6" customFormat="1" ht="23.25" customHeight="1">
      <c r="A8" s="10"/>
      <c r="B8" s="10"/>
      <c r="C8" s="10" t="s">
        <v>66</v>
      </c>
      <c r="D8" s="39"/>
      <c r="E8" s="2"/>
      <c r="F8" s="52">
        <f t="shared" si="3"/>
        <v>0</v>
      </c>
      <c r="G8" s="39"/>
      <c r="H8" s="2"/>
      <c r="I8" s="52">
        <f t="shared" si="4"/>
        <v>0</v>
      </c>
      <c r="J8" s="111" t="s">
        <v>67</v>
      </c>
      <c r="K8" s="112"/>
      <c r="L8" s="112"/>
      <c r="M8" s="113"/>
      <c r="N8" s="112"/>
      <c r="O8" s="53">
        <f t="shared" si="5"/>
        <v>0</v>
      </c>
      <c r="P8" s="114"/>
      <c r="Q8" s="111" t="s">
        <v>67</v>
      </c>
      <c r="R8" s="115">
        <f t="shared" si="6"/>
        <v>0</v>
      </c>
      <c r="S8" s="116" t="e">
        <f t="shared" si="7"/>
        <v>#DIV/0!</v>
      </c>
      <c r="T8" s="117"/>
      <c r="U8" s="118"/>
      <c r="V8" s="118"/>
      <c r="W8" s="118"/>
      <c r="X8" s="118"/>
      <c r="Y8" s="118"/>
      <c r="Z8" s="118"/>
      <c r="AA8" s="118"/>
      <c r="AB8" s="118"/>
      <c r="AC8" s="118"/>
      <c r="AD8" s="118"/>
      <c r="AE8" s="118"/>
      <c r="AF8" s="118"/>
      <c r="AG8" s="118"/>
      <c r="AH8" s="118"/>
      <c r="AI8" s="118"/>
      <c r="AJ8" s="118"/>
      <c r="AK8" s="118"/>
      <c r="AL8" s="118"/>
      <c r="AM8" s="118"/>
      <c r="AN8" s="118"/>
      <c r="AO8" s="118"/>
      <c r="AP8" s="118"/>
      <c r="AQ8" s="118"/>
      <c r="AR8" s="118"/>
      <c r="AS8" s="118"/>
      <c r="AT8" s="118"/>
      <c r="AU8" s="118"/>
      <c r="AV8" s="118"/>
      <c r="AW8" s="118"/>
      <c r="AX8" s="118"/>
      <c r="AY8" s="118"/>
      <c r="AZ8" s="118"/>
      <c r="BA8" s="118"/>
      <c r="BB8" s="118"/>
      <c r="BC8" s="118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</row>
    <row r="9" spans="1:121" s="6" customFormat="1" ht="23.25" customHeight="1">
      <c r="A9" s="10"/>
      <c r="B9" s="10"/>
      <c r="C9" s="10" t="s">
        <v>66</v>
      </c>
      <c r="D9" s="39"/>
      <c r="E9" s="2"/>
      <c r="F9" s="52">
        <f t="shared" si="3"/>
        <v>0</v>
      </c>
      <c r="G9" s="39"/>
      <c r="H9" s="2"/>
      <c r="I9" s="52">
        <f t="shared" si="4"/>
        <v>0</v>
      </c>
      <c r="J9" s="111" t="s">
        <v>67</v>
      </c>
      <c r="K9" s="112"/>
      <c r="L9" s="112"/>
      <c r="M9" s="113"/>
      <c r="N9" s="112"/>
      <c r="O9" s="53">
        <f t="shared" si="5"/>
        <v>0</v>
      </c>
      <c r="P9" s="114"/>
      <c r="Q9" s="111" t="s">
        <v>67</v>
      </c>
      <c r="R9" s="115">
        <f t="shared" ref="R9:R10" si="8">SUM(U9:BC9)</f>
        <v>0</v>
      </c>
      <c r="S9" s="116" t="e">
        <f t="shared" ref="S9:S10" si="9">R9/P9</f>
        <v>#DIV/0!</v>
      </c>
      <c r="T9" s="117"/>
      <c r="U9" s="118"/>
      <c r="V9" s="118"/>
      <c r="W9" s="118"/>
      <c r="X9" s="118"/>
      <c r="Y9" s="118"/>
      <c r="Z9" s="118"/>
      <c r="AA9" s="118"/>
      <c r="AB9" s="118"/>
      <c r="AC9" s="118"/>
      <c r="AD9" s="118"/>
      <c r="AE9" s="118"/>
      <c r="AF9" s="118"/>
      <c r="AG9" s="118"/>
      <c r="AH9" s="118"/>
      <c r="AI9" s="118"/>
      <c r="AJ9" s="118"/>
      <c r="AK9" s="118"/>
      <c r="AL9" s="118"/>
      <c r="AM9" s="118"/>
      <c r="AN9" s="118"/>
      <c r="AO9" s="118"/>
      <c r="AP9" s="118"/>
      <c r="AQ9" s="118"/>
      <c r="AR9" s="118"/>
      <c r="AS9" s="118"/>
      <c r="AT9" s="118"/>
      <c r="AU9" s="118"/>
      <c r="AV9" s="118"/>
      <c r="AW9" s="118"/>
      <c r="AX9" s="118"/>
      <c r="AY9" s="118"/>
      <c r="AZ9" s="118"/>
      <c r="BA9" s="118"/>
      <c r="BB9" s="118"/>
      <c r="BC9" s="118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</row>
    <row r="10" spans="1:121" s="6" customFormat="1" ht="23.25" customHeight="1">
      <c r="A10" s="10"/>
      <c r="B10" s="10"/>
      <c r="C10" s="10" t="s">
        <v>66</v>
      </c>
      <c r="D10" s="39"/>
      <c r="E10" s="2"/>
      <c r="F10" s="52">
        <f t="shared" si="3"/>
        <v>0</v>
      </c>
      <c r="G10" s="39"/>
      <c r="H10" s="2"/>
      <c r="I10" s="52">
        <f t="shared" si="4"/>
        <v>0</v>
      </c>
      <c r="J10" s="111" t="s">
        <v>67</v>
      </c>
      <c r="K10" s="112"/>
      <c r="L10" s="112"/>
      <c r="M10" s="113"/>
      <c r="N10" s="112"/>
      <c r="O10" s="53">
        <f t="shared" si="5"/>
        <v>0</v>
      </c>
      <c r="P10" s="114"/>
      <c r="Q10" s="111" t="s">
        <v>67</v>
      </c>
      <c r="R10" s="115">
        <f t="shared" si="8"/>
        <v>0</v>
      </c>
      <c r="S10" s="116" t="e">
        <f t="shared" si="9"/>
        <v>#DIV/0!</v>
      </c>
      <c r="T10" s="117"/>
      <c r="U10" s="118"/>
      <c r="V10" s="118"/>
      <c r="W10" s="118"/>
      <c r="X10" s="118"/>
      <c r="Y10" s="118"/>
      <c r="Z10" s="118"/>
      <c r="AA10" s="118"/>
      <c r="AB10" s="118"/>
      <c r="AC10" s="118"/>
      <c r="AD10" s="118"/>
      <c r="AE10" s="118"/>
      <c r="AF10" s="118"/>
      <c r="AG10" s="118"/>
      <c r="AH10" s="118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18"/>
      <c r="AT10" s="118"/>
      <c r="AU10" s="118"/>
      <c r="AV10" s="118"/>
      <c r="AW10" s="118"/>
      <c r="AX10" s="118"/>
      <c r="AY10" s="118"/>
      <c r="AZ10" s="118"/>
      <c r="BA10" s="118"/>
      <c r="BB10" s="118"/>
      <c r="BC10" s="118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</row>
    <row r="11" spans="1:121" s="6" customFormat="1" ht="23.25" customHeight="1">
      <c r="A11" s="10"/>
      <c r="B11" s="10"/>
      <c r="C11" s="10" t="s">
        <v>66</v>
      </c>
      <c r="D11" s="39"/>
      <c r="E11" s="2"/>
      <c r="F11" s="52">
        <f t="shared" si="3"/>
        <v>0</v>
      </c>
      <c r="G11" s="39"/>
      <c r="H11" s="2"/>
      <c r="I11" s="52">
        <f t="shared" si="4"/>
        <v>0</v>
      </c>
      <c r="J11" s="111" t="s">
        <v>67</v>
      </c>
      <c r="K11" s="112"/>
      <c r="L11" s="112"/>
      <c r="M11" s="113"/>
      <c r="N11" s="112"/>
      <c r="O11" s="53">
        <f t="shared" si="5"/>
        <v>0</v>
      </c>
      <c r="P11" s="114"/>
      <c r="Q11" s="111" t="s">
        <v>67</v>
      </c>
      <c r="R11" s="115">
        <f t="shared" ref="R11:R12" si="10">SUM(U11:BC11)</f>
        <v>0</v>
      </c>
      <c r="S11" s="116" t="e">
        <f t="shared" ref="S11:S12" si="11">R11/P11</f>
        <v>#DIV/0!</v>
      </c>
      <c r="T11" s="117"/>
      <c r="U11" s="118"/>
      <c r="V11" s="118"/>
      <c r="W11" s="118"/>
      <c r="X11" s="118"/>
      <c r="Y11" s="118"/>
      <c r="Z11" s="118"/>
      <c r="AA11" s="118"/>
      <c r="AB11" s="118"/>
      <c r="AC11" s="118"/>
      <c r="AD11" s="118"/>
      <c r="AE11" s="118"/>
      <c r="AF11" s="118"/>
      <c r="AG11" s="118"/>
      <c r="AH11" s="118"/>
      <c r="AI11" s="118"/>
      <c r="AJ11" s="118"/>
      <c r="AK11" s="118"/>
      <c r="AL11" s="118"/>
      <c r="AM11" s="118"/>
      <c r="AN11" s="118"/>
      <c r="AO11" s="118"/>
      <c r="AP11" s="118"/>
      <c r="AQ11" s="118"/>
      <c r="AR11" s="118"/>
      <c r="AS11" s="118"/>
      <c r="AT11" s="118"/>
      <c r="AU11" s="118"/>
      <c r="AV11" s="118"/>
      <c r="AW11" s="118"/>
      <c r="AX11" s="118"/>
      <c r="AY11" s="118"/>
      <c r="AZ11" s="118"/>
      <c r="BA11" s="118"/>
      <c r="BB11" s="118"/>
      <c r="BC11" s="118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</row>
    <row r="12" spans="1:121" s="6" customFormat="1" ht="23.25" customHeight="1">
      <c r="A12" s="10"/>
      <c r="B12" s="10"/>
      <c r="C12" s="10" t="s">
        <v>66</v>
      </c>
      <c r="D12" s="39"/>
      <c r="E12" s="2"/>
      <c r="F12" s="52">
        <f t="shared" si="3"/>
        <v>0</v>
      </c>
      <c r="G12" s="39"/>
      <c r="H12" s="2"/>
      <c r="I12" s="52">
        <f t="shared" si="4"/>
        <v>0</v>
      </c>
      <c r="J12" s="111" t="s">
        <v>67</v>
      </c>
      <c r="K12" s="112"/>
      <c r="L12" s="112"/>
      <c r="M12" s="113"/>
      <c r="N12" s="112"/>
      <c r="O12" s="53">
        <f t="shared" si="5"/>
        <v>0</v>
      </c>
      <c r="P12" s="114"/>
      <c r="Q12" s="111" t="s">
        <v>67</v>
      </c>
      <c r="R12" s="115">
        <f t="shared" si="10"/>
        <v>0</v>
      </c>
      <c r="S12" s="116" t="e">
        <f t="shared" si="11"/>
        <v>#DIV/0!</v>
      </c>
      <c r="T12" s="117"/>
      <c r="U12" s="118"/>
      <c r="V12" s="118"/>
      <c r="W12" s="118"/>
      <c r="X12" s="118"/>
      <c r="Y12" s="118"/>
      <c r="Z12" s="118"/>
      <c r="AA12" s="118"/>
      <c r="AB12" s="118"/>
      <c r="AC12" s="118"/>
      <c r="AD12" s="118"/>
      <c r="AE12" s="118"/>
      <c r="AF12" s="118"/>
      <c r="AG12" s="118"/>
      <c r="AH12" s="118"/>
      <c r="AI12" s="118"/>
      <c r="AJ12" s="118"/>
      <c r="AK12" s="118"/>
      <c r="AL12" s="118"/>
      <c r="AM12" s="118"/>
      <c r="AN12" s="118"/>
      <c r="AO12" s="118"/>
      <c r="AP12" s="118"/>
      <c r="AQ12" s="118"/>
      <c r="AR12" s="118"/>
      <c r="AS12" s="118"/>
      <c r="AT12" s="118"/>
      <c r="AU12" s="118"/>
      <c r="AV12" s="118"/>
      <c r="AW12" s="118"/>
      <c r="AX12" s="118"/>
      <c r="AY12" s="118"/>
      <c r="AZ12" s="118"/>
      <c r="BA12" s="118"/>
      <c r="BB12" s="118"/>
      <c r="BC12" s="118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</row>
    <row r="13" spans="1:121">
      <c r="A13" s="9"/>
      <c r="B13" s="9"/>
      <c r="C13" s="9"/>
      <c r="D13" s="9"/>
      <c r="E13" s="9"/>
      <c r="F13" s="9"/>
      <c r="G13" s="9"/>
      <c r="H13" s="9"/>
      <c r="I13" s="9"/>
      <c r="M13" s="9"/>
      <c r="O13" s="9"/>
      <c r="P13" s="9"/>
      <c r="Q13" s="9"/>
      <c r="R13" s="5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</row>
    <row r="14" spans="1:121">
      <c r="A14" s="9"/>
      <c r="B14" s="9"/>
      <c r="C14" s="9"/>
      <c r="D14" s="9"/>
      <c r="E14" s="9"/>
      <c r="F14" s="9"/>
      <c r="G14" s="9"/>
      <c r="H14" s="9"/>
      <c r="I14" s="9"/>
      <c r="M14" s="9"/>
      <c r="O14" s="9"/>
      <c r="P14" s="9"/>
      <c r="Q14" s="9"/>
      <c r="R14" s="5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</row>
    <row r="20" spans="2:2">
      <c r="B20" s="60"/>
    </row>
  </sheetData>
  <mergeCells count="23">
    <mergeCell ref="A1:R1"/>
    <mergeCell ref="U1:Z1"/>
    <mergeCell ref="AP1:AT1"/>
    <mergeCell ref="AU1:AZ1"/>
    <mergeCell ref="BA1:BC1"/>
    <mergeCell ref="AA1:AO1"/>
    <mergeCell ref="S1:T1"/>
    <mergeCell ref="A2:A3"/>
    <mergeCell ref="B2:B3"/>
    <mergeCell ref="C2:C3"/>
    <mergeCell ref="D2:D3"/>
    <mergeCell ref="E2:E3"/>
    <mergeCell ref="G2:G3"/>
    <mergeCell ref="H2:H3"/>
    <mergeCell ref="R2:R3"/>
    <mergeCell ref="S2:S3"/>
    <mergeCell ref="T2:T3"/>
    <mergeCell ref="P2:P3"/>
    <mergeCell ref="Q2:Q3"/>
    <mergeCell ref="J2:J3"/>
    <mergeCell ref="K2:K3"/>
    <mergeCell ref="M2:M3"/>
    <mergeCell ref="O2:O3"/>
  </mergeCells>
  <printOptions horizontalCentered="1"/>
  <pageMargins left="0" right="0" top="0" bottom="0" header="0.3" footer="0.3"/>
  <pageSetup paperSize="9" scale="2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Helper-1</vt:lpstr>
      <vt:lpstr>Helper-2</vt:lpstr>
      <vt:lpstr>Final</vt:lpstr>
      <vt:lpstr>Re-Final</vt:lpstr>
      <vt:lpstr>INLINE</vt:lpstr>
      <vt:lpstr>Final!Print_Area</vt:lpstr>
      <vt:lpstr>INLINE!Print_Area</vt:lpstr>
      <vt:lpstr>'Re-Final'!Print_Area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JUEL</dc:creator>
  <cp:lastModifiedBy>Forhath PC</cp:lastModifiedBy>
  <cp:lastPrinted>2025-12-06T09:09:07Z</cp:lastPrinted>
  <dcterms:created xsi:type="dcterms:W3CDTF">2023-12-12T04:01:42Z</dcterms:created>
  <dcterms:modified xsi:type="dcterms:W3CDTF">2026-05-03T05:07:51Z</dcterms:modified>
</cp:coreProperties>
</file>