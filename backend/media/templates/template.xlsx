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hath PC\Downloads\top-5\template\"/>
    </mc:Choice>
  </mc:AlternateContent>
  <xr:revisionPtr revIDLastSave="0" documentId="13_ncr:1_{18FB1CDC-CF0C-4151-9E1B-570F5ED3B14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nalysis" sheetId="4" r:id="rId1"/>
    <sheet name="Analysis(100%)" sheetId="5" r:id="rId2"/>
    <sheet name="Analysis(Final)" sheetId="6" r:id="rId3"/>
    <sheet name="Analysis(Re-Final)" sheetId="7" r:id="rId4"/>
    <sheet name="Analysis(100% Final)" sheetId="8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_______________________LSL1" localSheetId="0">#REF!</definedName>
    <definedName name="___________________________LSL1" localSheetId="4">#REF!</definedName>
    <definedName name="___________________________LSL1" localSheetId="1">#REF!</definedName>
    <definedName name="___________________________LSL1" localSheetId="2">#REF!</definedName>
    <definedName name="___________________________LSL1" localSheetId="3">#REF!</definedName>
    <definedName name="___________________________LSL1">#REF!</definedName>
    <definedName name="__________________________LSL1" localSheetId="0">#REF!</definedName>
    <definedName name="__________________________LSL1" localSheetId="4">#REF!</definedName>
    <definedName name="__________________________LSL1" localSheetId="1">#REF!</definedName>
    <definedName name="__________________________LSL1" localSheetId="2">#REF!</definedName>
    <definedName name="__________________________LSL1" localSheetId="3">#REF!</definedName>
    <definedName name="__________________________LSL1">#REF!</definedName>
    <definedName name="_________________________LSL1" localSheetId="0">#REF!</definedName>
    <definedName name="_________________________LSL1" localSheetId="4">#REF!</definedName>
    <definedName name="_________________________LSL1" localSheetId="1">#REF!</definedName>
    <definedName name="_________________________LSL1" localSheetId="2">#REF!</definedName>
    <definedName name="_________________________LSL1" localSheetId="3">#REF!</definedName>
    <definedName name="_________________________LSL1">#REF!</definedName>
    <definedName name="________________________LSL1" localSheetId="0">#REF!</definedName>
    <definedName name="________________________LSL1" localSheetId="4">#REF!</definedName>
    <definedName name="________________________LSL1" localSheetId="3">#REF!</definedName>
    <definedName name="________________________LSL1">#REF!</definedName>
    <definedName name="_______________________LSL1" localSheetId="0">#REF!</definedName>
    <definedName name="_______________________LSL1" localSheetId="4">#REF!</definedName>
    <definedName name="_______________________LSL1" localSheetId="3">#REF!</definedName>
    <definedName name="_______________________LSL1">#REF!</definedName>
    <definedName name="______________________LSL1" localSheetId="0">#REF!</definedName>
    <definedName name="______________________LSL1" localSheetId="4">#REF!</definedName>
    <definedName name="______________________LSL1" localSheetId="3">#REF!</definedName>
    <definedName name="______________________LSL1">#REF!</definedName>
    <definedName name="_____________________LSL1" localSheetId="0">#REF!</definedName>
    <definedName name="_____________________LSL1" localSheetId="4">#REF!</definedName>
    <definedName name="_____________________LSL1" localSheetId="3">#REF!</definedName>
    <definedName name="_____________________LSL1">#REF!</definedName>
    <definedName name="____________________LSL1" localSheetId="0">#REF!</definedName>
    <definedName name="____________________LSL1" localSheetId="4">#REF!</definedName>
    <definedName name="____________________LSL1" localSheetId="3">#REF!</definedName>
    <definedName name="____________________LSL1">#REF!</definedName>
    <definedName name="___________________LSL1" localSheetId="0">#REF!</definedName>
    <definedName name="___________________LSL1" localSheetId="4">#REF!</definedName>
    <definedName name="___________________LSL1" localSheetId="3">#REF!</definedName>
    <definedName name="___________________LSL1">#REF!</definedName>
    <definedName name="__________________LSL1" localSheetId="0">#REF!</definedName>
    <definedName name="__________________LSL1" localSheetId="4">#REF!</definedName>
    <definedName name="__________________LSL1" localSheetId="3">#REF!</definedName>
    <definedName name="__________________LSL1">#REF!</definedName>
    <definedName name="_________________LSL1" localSheetId="0">#REF!</definedName>
    <definedName name="_________________LSL1" localSheetId="4">#REF!</definedName>
    <definedName name="_________________LSL1" localSheetId="3">#REF!</definedName>
    <definedName name="_________________LSL1">#REF!</definedName>
    <definedName name="________________LSL1" localSheetId="0">#REF!</definedName>
    <definedName name="________________LSL1" localSheetId="4">#REF!</definedName>
    <definedName name="________________LSL1" localSheetId="3">#REF!</definedName>
    <definedName name="________________LSL1">#REF!</definedName>
    <definedName name="_______________LSL1" localSheetId="0">#REF!</definedName>
    <definedName name="_______________LSL1" localSheetId="4">#REF!</definedName>
    <definedName name="_______________LSL1" localSheetId="3">#REF!</definedName>
    <definedName name="_______________LSL1">#REF!</definedName>
    <definedName name="______________LSL1" localSheetId="0">#REF!</definedName>
    <definedName name="______________LSL1" localSheetId="4">#REF!</definedName>
    <definedName name="______________LSL1" localSheetId="3">#REF!</definedName>
    <definedName name="______________LSL1">#REF!</definedName>
    <definedName name="______________lsl2" localSheetId="0">#REF!</definedName>
    <definedName name="______________lsl2" localSheetId="4">#REF!</definedName>
    <definedName name="______________lsl2" localSheetId="3">#REF!</definedName>
    <definedName name="______________lsl2">#REF!</definedName>
    <definedName name="______________lsl3" localSheetId="0">#REF!</definedName>
    <definedName name="______________lsl3" localSheetId="4">#REF!</definedName>
    <definedName name="______________lsl3" localSheetId="3">#REF!</definedName>
    <definedName name="______________lsl3">#REF!</definedName>
    <definedName name="_____________LSL1" localSheetId="0">#REF!</definedName>
    <definedName name="_____________LSL1" localSheetId="4">#REF!</definedName>
    <definedName name="_____________LSL1" localSheetId="3">#REF!</definedName>
    <definedName name="_____________LSL1">#REF!</definedName>
    <definedName name="____________LSL1" localSheetId="0">#REF!</definedName>
    <definedName name="____________LSL1" localSheetId="4">#REF!</definedName>
    <definedName name="____________LSL1" localSheetId="3">#REF!</definedName>
    <definedName name="____________LSL1">#REF!</definedName>
    <definedName name="____________lsl2" localSheetId="0">#REF!</definedName>
    <definedName name="____________lsl2" localSheetId="4">#REF!</definedName>
    <definedName name="____________lsl2" localSheetId="3">#REF!</definedName>
    <definedName name="____________lsl2">#REF!</definedName>
    <definedName name="____________lsl3" localSheetId="0">#REF!</definedName>
    <definedName name="____________lsl3" localSheetId="4">#REF!</definedName>
    <definedName name="____________lsl3" localSheetId="3">#REF!</definedName>
    <definedName name="____________lsl3">#REF!</definedName>
    <definedName name="___________LSL1" localSheetId="0">#REF!</definedName>
    <definedName name="___________LSL1" localSheetId="4">#REF!</definedName>
    <definedName name="___________LSL1" localSheetId="3">#REF!</definedName>
    <definedName name="___________LSL1">#REF!</definedName>
    <definedName name="___________lsl2" localSheetId="0">#REF!</definedName>
    <definedName name="___________lsl2" localSheetId="4">#REF!</definedName>
    <definedName name="___________lsl2" localSheetId="3">#REF!</definedName>
    <definedName name="___________lsl2">#REF!</definedName>
    <definedName name="___________lsl3" localSheetId="0">#REF!</definedName>
    <definedName name="___________lsl3" localSheetId="4">#REF!</definedName>
    <definedName name="___________lsl3" localSheetId="3">#REF!</definedName>
    <definedName name="___________lsl3">#REF!</definedName>
    <definedName name="__________LSL1" localSheetId="0">#REF!</definedName>
    <definedName name="__________LSL1" localSheetId="4">#REF!</definedName>
    <definedName name="__________LSL1" localSheetId="3">#REF!</definedName>
    <definedName name="__________LSL1">#REF!</definedName>
    <definedName name="__________lsl2" localSheetId="0">#REF!</definedName>
    <definedName name="__________lsl2" localSheetId="4">#REF!</definedName>
    <definedName name="__________lsl2" localSheetId="3">#REF!</definedName>
    <definedName name="__________lsl2">#REF!</definedName>
    <definedName name="__________lsl3" localSheetId="0">#REF!</definedName>
    <definedName name="__________lsl3" localSheetId="4">#REF!</definedName>
    <definedName name="__________lsl3" localSheetId="3">#REF!</definedName>
    <definedName name="__________lsl3">#REF!</definedName>
    <definedName name="_________LSL1" localSheetId="0">#REF!</definedName>
    <definedName name="_________LSL1" localSheetId="4">#REF!</definedName>
    <definedName name="_________LSL1" localSheetId="3">#REF!</definedName>
    <definedName name="_________LSL1">#REF!</definedName>
    <definedName name="_________lsl2" localSheetId="0">#REF!</definedName>
    <definedName name="_________lsl2" localSheetId="4">#REF!</definedName>
    <definedName name="_________lsl2" localSheetId="3">#REF!</definedName>
    <definedName name="_________lsl2">#REF!</definedName>
    <definedName name="_________lsl3" localSheetId="0">#REF!</definedName>
    <definedName name="_________lsl3" localSheetId="4">#REF!</definedName>
    <definedName name="_________lsl3" localSheetId="3">#REF!</definedName>
    <definedName name="_________lsl3">#REF!</definedName>
    <definedName name="________LSL1" localSheetId="0">#REF!</definedName>
    <definedName name="________LSL1" localSheetId="4">#REF!</definedName>
    <definedName name="________LSL1" localSheetId="3">#REF!</definedName>
    <definedName name="________LSL1">#REF!</definedName>
    <definedName name="________lsl2" localSheetId="0">#REF!</definedName>
    <definedName name="________lsl2" localSheetId="4">#REF!</definedName>
    <definedName name="________lsl2" localSheetId="3">#REF!</definedName>
    <definedName name="________lsl2">#REF!</definedName>
    <definedName name="________lsl3" localSheetId="0">#REF!</definedName>
    <definedName name="________lsl3" localSheetId="4">#REF!</definedName>
    <definedName name="________lsl3" localSheetId="3">#REF!</definedName>
    <definedName name="________lsl3">#REF!</definedName>
    <definedName name="_______LSL1" localSheetId="0">#REF!</definedName>
    <definedName name="_______LSL1" localSheetId="4">#REF!</definedName>
    <definedName name="_______LSL1" localSheetId="3">#REF!</definedName>
    <definedName name="_______LSL1">#REF!</definedName>
    <definedName name="_______lsl2" localSheetId="0">#REF!</definedName>
    <definedName name="_______lsl2" localSheetId="4">#REF!</definedName>
    <definedName name="_______lsl2" localSheetId="3">#REF!</definedName>
    <definedName name="_______lsl2">#REF!</definedName>
    <definedName name="_______lsl3" localSheetId="0">#REF!</definedName>
    <definedName name="_______lsl3" localSheetId="4">#REF!</definedName>
    <definedName name="_______lsl3" localSheetId="3">#REF!</definedName>
    <definedName name="_______lsl3">#REF!</definedName>
    <definedName name="______LSL1" localSheetId="0">#REF!</definedName>
    <definedName name="______LSL1" localSheetId="4">#REF!</definedName>
    <definedName name="______LSL1" localSheetId="3">#REF!</definedName>
    <definedName name="______LSL1">#REF!</definedName>
    <definedName name="______lsl2" localSheetId="0">#REF!</definedName>
    <definedName name="______lsl2" localSheetId="4">#REF!</definedName>
    <definedName name="______lsl2" localSheetId="3">#REF!</definedName>
    <definedName name="______lsl2">#REF!</definedName>
    <definedName name="______lsl3" localSheetId="0">#REF!</definedName>
    <definedName name="______lsl3" localSheetId="4">#REF!</definedName>
    <definedName name="______lsl3" localSheetId="3">#REF!</definedName>
    <definedName name="______lsl3">#REF!</definedName>
    <definedName name="______may31" localSheetId="0">#REF!</definedName>
    <definedName name="______may31" localSheetId="4">#REF!</definedName>
    <definedName name="______may31" localSheetId="3">#REF!</definedName>
    <definedName name="______may31">#REF!</definedName>
    <definedName name="_____LSL1" localSheetId="0">#REF!</definedName>
    <definedName name="_____LSL1" localSheetId="4">#REF!</definedName>
    <definedName name="_____LSL1" localSheetId="3">#REF!</definedName>
    <definedName name="_____LSL1">#REF!</definedName>
    <definedName name="_____lsl2" localSheetId="0">#REF!</definedName>
    <definedName name="_____lsl2" localSheetId="4">#REF!</definedName>
    <definedName name="_____lsl2" localSheetId="3">#REF!</definedName>
    <definedName name="_____lsl2">#REF!</definedName>
    <definedName name="_____lsl3" localSheetId="0">#REF!</definedName>
    <definedName name="_____lsl3" localSheetId="4">#REF!</definedName>
    <definedName name="_____lsl3" localSheetId="3">#REF!</definedName>
    <definedName name="_____lsl3">#REF!</definedName>
    <definedName name="____LSL1" localSheetId="0">#REF!</definedName>
    <definedName name="____LSL1" localSheetId="4">#REF!</definedName>
    <definedName name="____LSL1" localSheetId="3">#REF!</definedName>
    <definedName name="____LSL1">#REF!</definedName>
    <definedName name="____lsl2" localSheetId="0">#REF!</definedName>
    <definedName name="____lsl2" localSheetId="4">#REF!</definedName>
    <definedName name="____lsl2" localSheetId="3">#REF!</definedName>
    <definedName name="____lsl2">#REF!</definedName>
    <definedName name="____lsl3" localSheetId="0">#REF!</definedName>
    <definedName name="____lsl3" localSheetId="4">#REF!</definedName>
    <definedName name="____lsl3" localSheetId="3">#REF!</definedName>
    <definedName name="____lsl3">#REF!</definedName>
    <definedName name="____may31" localSheetId="0">#REF!</definedName>
    <definedName name="____may31" localSheetId="4">#REF!</definedName>
    <definedName name="____may31" localSheetId="3">#REF!</definedName>
    <definedName name="____may31">#REF!</definedName>
    <definedName name="___LSL1" localSheetId="0">#REF!</definedName>
    <definedName name="___LSL1" localSheetId="4">#REF!</definedName>
    <definedName name="___LSL1" localSheetId="3">#REF!</definedName>
    <definedName name="___LSL1">#REF!</definedName>
    <definedName name="___lsl2" localSheetId="0">#REF!</definedName>
    <definedName name="___lsl2" localSheetId="4">#REF!</definedName>
    <definedName name="___lsl2" localSheetId="3">#REF!</definedName>
    <definedName name="___lsl2">#REF!</definedName>
    <definedName name="___lsl3" localSheetId="0">#REF!</definedName>
    <definedName name="___lsl3" localSheetId="4">#REF!</definedName>
    <definedName name="___lsl3" localSheetId="3">#REF!</definedName>
    <definedName name="___lsl3">#REF!</definedName>
    <definedName name="___may31" localSheetId="0">#REF!</definedName>
    <definedName name="___may31" localSheetId="4">#REF!</definedName>
    <definedName name="___may31" localSheetId="3">#REF!</definedName>
    <definedName name="___may31">#REF!</definedName>
    <definedName name="__LSL1" localSheetId="0">#REF!</definedName>
    <definedName name="__LSL1" localSheetId="4">#REF!</definedName>
    <definedName name="__LSL1" localSheetId="3">#REF!</definedName>
    <definedName name="__LSL1">#REF!</definedName>
    <definedName name="__lsl2" localSheetId="0">#REF!</definedName>
    <definedName name="__lsl2" localSheetId="4">#REF!</definedName>
    <definedName name="__lsl2" localSheetId="3">#REF!</definedName>
    <definedName name="__lsl2">#REF!</definedName>
    <definedName name="__lsl3" localSheetId="0">#REF!</definedName>
    <definedName name="__lsl3" localSheetId="4">#REF!</definedName>
    <definedName name="__lsl3" localSheetId="3">#REF!</definedName>
    <definedName name="__lsl3">#REF!</definedName>
    <definedName name="__may31" localSheetId="0">#REF!</definedName>
    <definedName name="__may31" localSheetId="4">#REF!</definedName>
    <definedName name="__may31" localSheetId="3">#REF!</definedName>
    <definedName name="__may31">#REF!</definedName>
    <definedName name="_19.5" localSheetId="0">[1]dimensions!#REF!</definedName>
    <definedName name="_19.5" localSheetId="4">[1]dimensions!#REF!</definedName>
    <definedName name="_19.5" localSheetId="1">[1]dimensions!#REF!</definedName>
    <definedName name="_19.5" localSheetId="2">[1]dimensions!#REF!</definedName>
    <definedName name="_19.5" localSheetId="3">[1]dimensions!#REF!</definedName>
    <definedName name="_19.5">[1]dimensions!#REF!</definedName>
    <definedName name="_LSL1" localSheetId="0">#REF!</definedName>
    <definedName name="_LSL1" localSheetId="4">#REF!</definedName>
    <definedName name="_LSL1" localSheetId="1">#REF!</definedName>
    <definedName name="_LSL1" localSheetId="2">#REF!</definedName>
    <definedName name="_LSL1" localSheetId="3">#REF!</definedName>
    <definedName name="_LSL1">#REF!</definedName>
    <definedName name="_lsl2" localSheetId="0">#REF!</definedName>
    <definedName name="_lsl2" localSheetId="4">#REF!</definedName>
    <definedName name="_lsl2" localSheetId="1">#REF!</definedName>
    <definedName name="_lsl2" localSheetId="2">#REF!</definedName>
    <definedName name="_lsl2" localSheetId="3">#REF!</definedName>
    <definedName name="_lsl2">#REF!</definedName>
    <definedName name="_lsl3" localSheetId="0">#REF!</definedName>
    <definedName name="_lsl3" localSheetId="4">#REF!</definedName>
    <definedName name="_lsl3" localSheetId="1">#REF!</definedName>
    <definedName name="_lsl3" localSheetId="2">#REF!</definedName>
    <definedName name="_lsl3" localSheetId="3">#REF!</definedName>
    <definedName name="_lsl3">#REF!</definedName>
    <definedName name="_may31" localSheetId="0">#REF!</definedName>
    <definedName name="_may31" localSheetId="4">#REF!</definedName>
    <definedName name="_may31" localSheetId="3">#REF!</definedName>
    <definedName name="_may31">#REF!</definedName>
    <definedName name="a" localSheetId="0">#N/A</definedName>
    <definedName name="a">#N/A</definedName>
    <definedName name="aa" localSheetId="0">#N/A</definedName>
    <definedName name="aa">#N/A</definedName>
    <definedName name="ABCS" localSheetId="0">#REF!</definedName>
    <definedName name="ABCS" localSheetId="4">#REF!</definedName>
    <definedName name="ABCS" localSheetId="1">#REF!</definedName>
    <definedName name="ABCS" localSheetId="2">#REF!</definedName>
    <definedName name="ABCS" localSheetId="3">#REF!</definedName>
    <definedName name="ABCS">#REF!</definedName>
    <definedName name="ABM">'[2]Data Validation'!$A$2:$A$6</definedName>
    <definedName name="After" localSheetId="0">#N/A</definedName>
    <definedName name="After">#N/A</definedName>
    <definedName name="ALG" localSheetId="0">#N/A</definedName>
    <definedName name="ALG">#N/A</definedName>
    <definedName name="AM">#N/A</definedName>
    <definedName name="AR">#N/A</definedName>
    <definedName name="b" localSheetId="0">#N/A</definedName>
    <definedName name="b">#N/A</definedName>
    <definedName name="base_date_1" localSheetId="0">#REF!</definedName>
    <definedName name="base_date_1" localSheetId="4">#REF!</definedName>
    <definedName name="base_date_1" localSheetId="1">#REF!</definedName>
    <definedName name="base_date_1" localSheetId="2">#REF!</definedName>
    <definedName name="base_date_1" localSheetId="3">#REF!</definedName>
    <definedName name="base_date_1">#REF!</definedName>
    <definedName name="base_date_2" localSheetId="0">#REF!</definedName>
    <definedName name="base_date_2" localSheetId="4">#REF!</definedName>
    <definedName name="base_date_2" localSheetId="1">#REF!</definedName>
    <definedName name="base_date_2" localSheetId="2">#REF!</definedName>
    <definedName name="base_date_2" localSheetId="3">#REF!</definedName>
    <definedName name="base_date_2">#REF!</definedName>
    <definedName name="base_date_3" localSheetId="0">#REF!</definedName>
    <definedName name="base_date_3" localSheetId="4">#REF!</definedName>
    <definedName name="base_date_3" localSheetId="1">#REF!</definedName>
    <definedName name="base_date_3" localSheetId="2">#REF!</definedName>
    <definedName name="base_date_3" localSheetId="3">#REF!</definedName>
    <definedName name="base_date_3">#REF!</definedName>
    <definedName name="bbbbbb">#N/A</definedName>
    <definedName name="Befor" localSheetId="0">#N/A</definedName>
    <definedName name="Befor">#N/A</definedName>
    <definedName name="BENNETON" localSheetId="0">#REF!</definedName>
    <definedName name="BENNETON" localSheetId="4">#REF!</definedName>
    <definedName name="BENNETON" localSheetId="1">#REF!</definedName>
    <definedName name="BENNETON" localSheetId="2">#REF!</definedName>
    <definedName name="BENNETON" localSheetId="3">#REF!</definedName>
    <definedName name="BENNETON">#REF!</definedName>
    <definedName name="BET" localSheetId="0">#REF!</definedName>
    <definedName name="BET" localSheetId="4">#REF!</definedName>
    <definedName name="BET" localSheetId="1">#REF!</definedName>
    <definedName name="BET" localSheetId="2">#REF!</definedName>
    <definedName name="BET" localSheetId="3">#REF!</definedName>
    <definedName name="BET">#REF!</definedName>
    <definedName name="btn" localSheetId="0">#REF!</definedName>
    <definedName name="btn" localSheetId="4">#REF!</definedName>
    <definedName name="btn" localSheetId="1">#REF!</definedName>
    <definedName name="btn" localSheetId="2">#REF!</definedName>
    <definedName name="btn" localSheetId="3">#REF!</definedName>
    <definedName name="btn">#REF!</definedName>
    <definedName name="by" localSheetId="0">#REF!</definedName>
    <definedName name="by" localSheetId="4">#REF!</definedName>
    <definedName name="by" localSheetId="3">#REF!</definedName>
    <definedName name="by">#REF!</definedName>
    <definedName name="cancel_date_1" localSheetId="0">#REF!</definedName>
    <definedName name="cancel_date_1" localSheetId="4">#REF!</definedName>
    <definedName name="cancel_date_1" localSheetId="3">#REF!</definedName>
    <definedName name="cancel_date_1">#REF!</definedName>
    <definedName name="cancel_date_2" localSheetId="0">#REF!</definedName>
    <definedName name="cancel_date_2" localSheetId="4">#REF!</definedName>
    <definedName name="cancel_date_2" localSheetId="3">#REF!</definedName>
    <definedName name="cancel_date_2">#REF!</definedName>
    <definedName name="cancel_date_3" localSheetId="0">#REF!</definedName>
    <definedName name="cancel_date_3" localSheetId="4">#REF!</definedName>
    <definedName name="cancel_date_3" localSheetId="3">#REF!</definedName>
    <definedName name="cancel_date_3">#REF!</definedName>
    <definedName name="comp_sea" localSheetId="0">#REF!</definedName>
    <definedName name="comp_sea" localSheetId="4">#REF!</definedName>
    <definedName name="comp_sea" localSheetId="3">#REF!</definedName>
    <definedName name="comp_sea">#REF!</definedName>
    <definedName name="comp_sean" localSheetId="0">#REF!</definedName>
    <definedName name="comp_sean" localSheetId="4">#REF!</definedName>
    <definedName name="comp_sean" localSheetId="3">#REF!</definedName>
    <definedName name="comp_sean">#REF!</definedName>
    <definedName name="comp_sty" localSheetId="0">#REF!</definedName>
    <definedName name="comp_sty" localSheetId="4">#REF!</definedName>
    <definedName name="comp_sty" localSheetId="3">#REF!</definedName>
    <definedName name="comp_sty">#REF!</definedName>
    <definedName name="comp_style" localSheetId="0">#REF!</definedName>
    <definedName name="comp_style" localSheetId="4">#REF!</definedName>
    <definedName name="comp_style" localSheetId="3">#REF!</definedName>
    <definedName name="comp_style">#REF!</definedName>
    <definedName name="contract_orderno" localSheetId="0">#REF!</definedName>
    <definedName name="contract_orderno" localSheetId="4">#REF!</definedName>
    <definedName name="contract_orderno" localSheetId="3">#REF!</definedName>
    <definedName name="contract_orderno">#REF!</definedName>
    <definedName name="country_code" localSheetId="0">#REF!</definedName>
    <definedName name="country_code" localSheetId="4">#REF!</definedName>
    <definedName name="country_code" localSheetId="3">#REF!</definedName>
    <definedName name="country_code">#REF!</definedName>
    <definedName name="cpt_text" localSheetId="0">#REF!</definedName>
    <definedName name="cpt_text" localSheetId="4">#REF!</definedName>
    <definedName name="cpt_text" localSheetId="3">#REF!</definedName>
    <definedName name="cpt_text">#REF!</definedName>
    <definedName name="curr_code" localSheetId="0">#REF!</definedName>
    <definedName name="curr_code" localSheetId="4">#REF!</definedName>
    <definedName name="curr_code" localSheetId="3">#REF!</definedName>
    <definedName name="curr_code">#REF!</definedName>
    <definedName name="cust_email" localSheetId="0">#REF!</definedName>
    <definedName name="cust_email" localSheetId="4">#REF!</definedName>
    <definedName name="cust_email" localSheetId="3">#REF!</definedName>
    <definedName name="cust_email">#REF!</definedName>
    <definedName name="Custno_shipto" localSheetId="0">#REF!</definedName>
    <definedName name="Custno_shipto" localSheetId="4">#REF!</definedName>
    <definedName name="Custno_shipto" localSheetId="3">#REF!</definedName>
    <definedName name="Custno_shipto">#REF!</definedName>
    <definedName name="Custno_soldto" localSheetId="0">#REF!</definedName>
    <definedName name="Custno_soldto" localSheetId="4">#REF!</definedName>
    <definedName name="Custno_soldto" localSheetId="3">#REF!</definedName>
    <definedName name="Custno_soldto">#REF!</definedName>
    <definedName name="customer_address" localSheetId="0">#REF!</definedName>
    <definedName name="customer_address" localSheetId="4">#REF!</definedName>
    <definedName name="customer_address" localSheetId="3">#REF!</definedName>
    <definedName name="customer_address">#REF!</definedName>
    <definedName name="customer_city" localSheetId="0">#REF!</definedName>
    <definedName name="customer_city" localSheetId="4">#REF!</definedName>
    <definedName name="customer_city" localSheetId="3">#REF!</definedName>
    <definedName name="customer_city">#REF!</definedName>
    <definedName name="customer_group" localSheetId="0">#REF!</definedName>
    <definedName name="customer_group" localSheetId="4">#REF!</definedName>
    <definedName name="customer_group" localSheetId="3">#REF!</definedName>
    <definedName name="customer_group">#REF!</definedName>
    <definedName name="customer_name" localSheetId="0">#REF!</definedName>
    <definedName name="customer_name" localSheetId="4">#REF!</definedName>
    <definedName name="customer_name" localSheetId="3">#REF!</definedName>
    <definedName name="customer_name">#REF!</definedName>
    <definedName name="customer_state" localSheetId="0">#REF!</definedName>
    <definedName name="customer_state" localSheetId="4">#REF!</definedName>
    <definedName name="customer_state" localSheetId="3">#REF!</definedName>
    <definedName name="customer_state">#REF!</definedName>
    <definedName name="customer_zip" localSheetId="0">#REF!</definedName>
    <definedName name="customer_zip" localSheetId="4">#REF!</definedName>
    <definedName name="customer_zip" localSheetId="3">#REF!</definedName>
    <definedName name="customer_zip">#REF!</definedName>
    <definedName name="d" localSheetId="0">#N/A</definedName>
    <definedName name="d">#N/A</definedName>
    <definedName name="da" localSheetId="0">#N/A</definedName>
    <definedName name="da">#N/A</definedName>
    <definedName name="DATA13" localSheetId="0">[3]Overview!#REF!</definedName>
    <definedName name="DATA13" localSheetId="4">[3]Overview!#REF!</definedName>
    <definedName name="DATA13" localSheetId="3">[3]Overview!#REF!</definedName>
    <definedName name="DATA13">[3]Overview!#REF!</definedName>
    <definedName name="DATA6" localSheetId="0">[3]Overview!#REF!</definedName>
    <definedName name="DATA6" localSheetId="4">[3]Overview!#REF!</definedName>
    <definedName name="DATA6" localSheetId="3">[3]Overview!#REF!</definedName>
    <definedName name="DATA6">[3]Overview!#REF!</definedName>
    <definedName name="DATA7" localSheetId="0">[3]Overview!#REF!</definedName>
    <definedName name="DATA7" localSheetId="4">[3]Overview!#REF!</definedName>
    <definedName name="DATA7" localSheetId="3">[3]Overview!#REF!</definedName>
    <definedName name="DATA7">[3]Overview!#REF!</definedName>
    <definedName name="_xlnm.Database" localSheetId="0">#REF!</definedName>
    <definedName name="_xlnm.Database" localSheetId="4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>#REF!</definedName>
    <definedName name="date_count" localSheetId="0">#REF!</definedName>
    <definedName name="date_count" localSheetId="4">#REF!</definedName>
    <definedName name="date_count" localSheetId="1">#REF!</definedName>
    <definedName name="date_count" localSheetId="2">#REF!</definedName>
    <definedName name="date_count" localSheetId="3">#REF!</definedName>
    <definedName name="date_count">#REF!</definedName>
    <definedName name="DD">#N/A</definedName>
    <definedName name="ddp_text" localSheetId="0">#REF!</definedName>
    <definedName name="ddp_text" localSheetId="4">#REF!</definedName>
    <definedName name="ddp_text" localSheetId="1">#REF!</definedName>
    <definedName name="ddp_text" localSheetId="2">#REF!</definedName>
    <definedName name="ddp_text" localSheetId="3">#REF!</definedName>
    <definedName name="ddp_text">#REF!</definedName>
    <definedName name="del_block" localSheetId="0">#REF!</definedName>
    <definedName name="del_block" localSheetId="4">#REF!</definedName>
    <definedName name="del_block" localSheetId="1">#REF!</definedName>
    <definedName name="del_block" localSheetId="2">#REF!</definedName>
    <definedName name="del_block" localSheetId="3">#REF!</definedName>
    <definedName name="del_block">#REF!</definedName>
    <definedName name="deldate_1" localSheetId="0">#REF!</definedName>
    <definedName name="deldate_1" localSheetId="4">#REF!</definedName>
    <definedName name="deldate_1" localSheetId="1">#REF!</definedName>
    <definedName name="deldate_1" localSheetId="2">#REF!</definedName>
    <definedName name="deldate_1" localSheetId="3">#REF!</definedName>
    <definedName name="deldate_1">#REF!</definedName>
    <definedName name="deldate_2" localSheetId="0">#REF!</definedName>
    <definedName name="deldate_2" localSheetId="4">#REF!</definedName>
    <definedName name="deldate_2" localSheetId="3">#REF!</definedName>
    <definedName name="deldate_2">#REF!</definedName>
    <definedName name="deldate_3" localSheetId="0">#REF!</definedName>
    <definedName name="deldate_3" localSheetId="4">#REF!</definedName>
    <definedName name="deldate_3" localSheetId="3">#REF!</definedName>
    <definedName name="deldate_3">#REF!</definedName>
    <definedName name="delivery_address" localSheetId="0">#REF!</definedName>
    <definedName name="delivery_address" localSheetId="4">#REF!</definedName>
    <definedName name="delivery_address" localSheetId="3">#REF!</definedName>
    <definedName name="delivery_address">#REF!</definedName>
    <definedName name="delivery_blocks" localSheetId="0">#REF!</definedName>
    <definedName name="delivery_blocks" localSheetId="4">#REF!</definedName>
    <definedName name="delivery_blocks" localSheetId="3">#REF!</definedName>
    <definedName name="delivery_blocks">#REF!</definedName>
    <definedName name="delivery_city" localSheetId="0">#REF!</definedName>
    <definedName name="delivery_city" localSheetId="4">#REF!</definedName>
    <definedName name="delivery_city" localSheetId="3">#REF!</definedName>
    <definedName name="delivery_city">#REF!</definedName>
    <definedName name="delivery_name" localSheetId="0">#REF!</definedName>
    <definedName name="delivery_name" localSheetId="4">#REF!</definedName>
    <definedName name="delivery_name" localSheetId="3">#REF!</definedName>
    <definedName name="delivery_name">#REF!</definedName>
    <definedName name="delivery_state" localSheetId="0">#REF!</definedName>
    <definedName name="delivery_state" localSheetId="4">#REF!</definedName>
    <definedName name="delivery_state" localSheetId="3">#REF!</definedName>
    <definedName name="delivery_state">#REF!</definedName>
    <definedName name="delivery_terms" localSheetId="0">#REF!</definedName>
    <definedName name="delivery_terms" localSheetId="4">#REF!</definedName>
    <definedName name="delivery_terms" localSheetId="3">#REF!</definedName>
    <definedName name="delivery_terms">#REF!</definedName>
    <definedName name="delivery_zip" localSheetId="0">#REF!</definedName>
    <definedName name="delivery_zip" localSheetId="4">#REF!</definedName>
    <definedName name="delivery_zip" localSheetId="3">#REF!</definedName>
    <definedName name="delivery_zip">#REF!</definedName>
    <definedName name="description_1" localSheetId="0">#REF!</definedName>
    <definedName name="description_1" localSheetId="4">#REF!</definedName>
    <definedName name="description_1" localSheetId="3">#REF!</definedName>
    <definedName name="description_1">#REF!</definedName>
    <definedName name="description_2" localSheetId="0">#REF!</definedName>
    <definedName name="description_2" localSheetId="4">#REF!</definedName>
    <definedName name="description_2" localSheetId="3">#REF!</definedName>
    <definedName name="description_2">#REF!</definedName>
    <definedName name="description_3" localSheetId="0">#REF!</definedName>
    <definedName name="description_3" localSheetId="4">#REF!</definedName>
    <definedName name="description_3" localSheetId="3">#REF!</definedName>
    <definedName name="description_3">#REF!</definedName>
    <definedName name="dfs" localSheetId="0">#N/A</definedName>
    <definedName name="dfs">#N/A</definedName>
    <definedName name="disc_code_1" localSheetId="0">#REF!</definedName>
    <definedName name="disc_code_1" localSheetId="4">#REF!</definedName>
    <definedName name="disc_code_1" localSheetId="1">#REF!</definedName>
    <definedName name="disc_code_1" localSheetId="2">#REF!</definedName>
    <definedName name="disc_code_1" localSheetId="3">#REF!</definedName>
    <definedName name="disc_code_1">#REF!</definedName>
    <definedName name="disc_code_1_misc" localSheetId="0">#REF!</definedName>
    <definedName name="disc_code_1_misc" localSheetId="4">#REF!</definedName>
    <definedName name="disc_code_1_misc" localSheetId="1">#REF!</definedName>
    <definedName name="disc_code_1_misc" localSheetId="2">#REF!</definedName>
    <definedName name="disc_code_1_misc" localSheetId="3">#REF!</definedName>
    <definedName name="disc_code_1_misc">#REF!</definedName>
    <definedName name="disc_code_2" localSheetId="0">#REF!</definedName>
    <definedName name="disc_code_2" localSheetId="4">#REF!</definedName>
    <definedName name="disc_code_2" localSheetId="1">#REF!</definedName>
    <definedName name="disc_code_2" localSheetId="2">#REF!</definedName>
    <definedName name="disc_code_2" localSheetId="3">#REF!</definedName>
    <definedName name="disc_code_2">#REF!</definedName>
    <definedName name="disc_code_2_misc" localSheetId="0">#REF!</definedName>
    <definedName name="disc_code_2_misc" localSheetId="4">#REF!</definedName>
    <definedName name="disc_code_2_misc" localSheetId="3">#REF!</definedName>
    <definedName name="disc_code_2_misc">#REF!</definedName>
    <definedName name="disc_code_header" localSheetId="0">#REF!</definedName>
    <definedName name="disc_code_header" localSheetId="4">#REF!</definedName>
    <definedName name="disc_code_header" localSheetId="3">#REF!</definedName>
    <definedName name="disc_code_header">#REF!</definedName>
    <definedName name="disc_report" localSheetId="0">#REF!</definedName>
    <definedName name="disc_report" localSheetId="4">#REF!</definedName>
    <definedName name="disc_report" localSheetId="3">#REF!</definedName>
    <definedName name="disc_report">#REF!</definedName>
    <definedName name="discount_types" localSheetId="0">#REF!</definedName>
    <definedName name="discount_types" localSheetId="4">#REF!</definedName>
    <definedName name="discount_types" localSheetId="3">#REF!</definedName>
    <definedName name="discount_types">#REF!</definedName>
    <definedName name="district_change" localSheetId="0">#REF!</definedName>
    <definedName name="district_change" localSheetId="4">#REF!</definedName>
    <definedName name="district_change" localSheetId="3">#REF!</definedName>
    <definedName name="district_change">#REF!</definedName>
    <definedName name="dpr" localSheetId="0">#REF!</definedName>
    <definedName name="dpr" localSheetId="4">#REF!</definedName>
    <definedName name="dpr" localSheetId="3">#REF!</definedName>
    <definedName name="dpr">#REF!</definedName>
    <definedName name="dsfa">#N/A</definedName>
    <definedName name="Duty" localSheetId="0">#REF!</definedName>
    <definedName name="Duty" localSheetId="4">#REF!</definedName>
    <definedName name="Duty" localSheetId="1">#REF!</definedName>
    <definedName name="Duty" localSheetId="2">#REF!</definedName>
    <definedName name="Duty" localSheetId="3">#REF!</definedName>
    <definedName name="Duty">#REF!</definedName>
    <definedName name="DUTY_CHRG" localSheetId="0">#REF!</definedName>
    <definedName name="DUTY_CHRG" localSheetId="4">#REF!</definedName>
    <definedName name="DUTY_CHRG" localSheetId="1">#REF!</definedName>
    <definedName name="DUTY_CHRG" localSheetId="2">#REF!</definedName>
    <definedName name="DUTY_CHRG" localSheetId="3">#REF!</definedName>
    <definedName name="DUTY_CHRG">#REF!</definedName>
    <definedName name="ED">#N/A</definedName>
    <definedName name="email_rep" localSheetId="0">#REF!</definedName>
    <definedName name="email_rep" localSheetId="4">#REF!</definedName>
    <definedName name="email_rep" localSheetId="1">#REF!</definedName>
    <definedName name="email_rep" localSheetId="2">#REF!</definedName>
    <definedName name="email_rep" localSheetId="3">#REF!</definedName>
    <definedName name="email_rep">#REF!</definedName>
    <definedName name="ert">#N/A</definedName>
    <definedName name="etd" localSheetId="0">#REF!</definedName>
    <definedName name="etd" localSheetId="4">#REF!</definedName>
    <definedName name="etd" localSheetId="1">#REF!</definedName>
    <definedName name="etd" localSheetId="2">#REF!</definedName>
    <definedName name="etd" localSheetId="3">#REF!</definedName>
    <definedName name="etd">#REF!</definedName>
    <definedName name="external_text_1" localSheetId="0">#REF!</definedName>
    <definedName name="external_text_1" localSheetId="4">#REF!</definedName>
    <definedName name="external_text_1" localSheetId="1">#REF!</definedName>
    <definedName name="external_text_1" localSheetId="2">#REF!</definedName>
    <definedName name="external_text_1" localSheetId="3">#REF!</definedName>
    <definedName name="external_text_1">#REF!</definedName>
    <definedName name="external_text_2" localSheetId="0">#REF!</definedName>
    <definedName name="external_text_2" localSheetId="4">#REF!</definedName>
    <definedName name="external_text_2" localSheetId="1">#REF!</definedName>
    <definedName name="external_text_2" localSheetId="2">#REF!</definedName>
    <definedName name="external_text_2" localSheetId="3">#REF!</definedName>
    <definedName name="external_text_2">#REF!</definedName>
    <definedName name="external_text_3" localSheetId="0">#REF!</definedName>
    <definedName name="external_text_3" localSheetId="4">#REF!</definedName>
    <definedName name="external_text_3" localSheetId="3">#REF!</definedName>
    <definedName name="external_text_3">#REF!</definedName>
    <definedName name="exw_text" localSheetId="0">#REF!</definedName>
    <definedName name="exw_text" localSheetId="4">#REF!</definedName>
    <definedName name="exw_text" localSheetId="3">#REF!</definedName>
    <definedName name="exw_text">#REF!</definedName>
    <definedName name="f" localSheetId="0">#N/A</definedName>
    <definedName name="f">#N/A</definedName>
    <definedName name="FACTOR_AMT" localSheetId="0">#REF!</definedName>
    <definedName name="FACTOR_AMT" localSheetId="4">#REF!</definedName>
    <definedName name="FACTOR_AMT" localSheetId="1">#REF!</definedName>
    <definedName name="FACTOR_AMT" localSheetId="2">#REF!</definedName>
    <definedName name="FACTOR_AMT" localSheetId="3">#REF!</definedName>
    <definedName name="FACTOR_AMT">#REF!</definedName>
    <definedName name="far" localSheetId="0">#N/A</definedName>
    <definedName name="far">#N/A</definedName>
    <definedName name="fAS">#N/A</definedName>
    <definedName name="ff">#N/A</definedName>
    <definedName name="FG">#N/A</definedName>
    <definedName name="fgtfdfs" localSheetId="0">#REF!</definedName>
    <definedName name="fgtfdfs" localSheetId="4">#REF!</definedName>
    <definedName name="fgtfdfs" localSheetId="1">#REF!</definedName>
    <definedName name="fgtfdfs" localSheetId="2">#REF!</definedName>
    <definedName name="fgtfdfs" localSheetId="3">#REF!</definedName>
    <definedName name="fgtfdfs">#REF!</definedName>
    <definedName name="fob" localSheetId="0">#REF!</definedName>
    <definedName name="fob" localSheetId="4">#REF!</definedName>
    <definedName name="fob" localSheetId="1">#REF!</definedName>
    <definedName name="fob" localSheetId="2">#REF!</definedName>
    <definedName name="fob" localSheetId="3">#REF!</definedName>
    <definedName name="fob">#REF!</definedName>
    <definedName name="FOB_TOT" localSheetId="0">#REF!</definedName>
    <definedName name="FOB_TOT" localSheetId="4">#REF!</definedName>
    <definedName name="FOB_TOT" localSheetId="1">#REF!</definedName>
    <definedName name="FOB_TOT" localSheetId="2">#REF!</definedName>
    <definedName name="FOB_TOT" localSheetId="3">#REF!</definedName>
    <definedName name="FOB_TOT">#REF!</definedName>
    <definedName name="FRGHT_CHRG" localSheetId="0">#REF!</definedName>
    <definedName name="FRGHT_CHRG" localSheetId="4">#REF!</definedName>
    <definedName name="FRGHT_CHRG" localSheetId="3">#REF!</definedName>
    <definedName name="FRGHT_CHRG">#REF!</definedName>
    <definedName name="G" localSheetId="0">#N/A</definedName>
    <definedName name="G">#N/A</definedName>
    <definedName name="gfdhhgh" localSheetId="0">#REF!</definedName>
    <definedName name="gfdhhgh" localSheetId="4">#REF!</definedName>
    <definedName name="gfdhhgh" localSheetId="3">#REF!</definedName>
    <definedName name="gfdhhgh">#REF!</definedName>
    <definedName name="gg" localSheetId="0">#N/A</definedName>
    <definedName name="gg">#N/A</definedName>
    <definedName name="Header" localSheetId="0">#REF!</definedName>
    <definedName name="Header" localSheetId="4">#REF!</definedName>
    <definedName name="Header" localSheetId="1">#REF!</definedName>
    <definedName name="Header" localSheetId="2">#REF!</definedName>
    <definedName name="Header" localSheetId="3">#REF!</definedName>
    <definedName name="Header">#REF!</definedName>
    <definedName name="header_disc_1" localSheetId="0">#REF!</definedName>
    <definedName name="header_disc_1" localSheetId="4">#REF!</definedName>
    <definedName name="header_disc_1" localSheetId="1">#REF!</definedName>
    <definedName name="header_disc_1" localSheetId="2">#REF!</definedName>
    <definedName name="header_disc_1" localSheetId="3">#REF!</definedName>
    <definedName name="header_disc_1">#REF!</definedName>
    <definedName name="header_disc_2" localSheetId="0">#REF!</definedName>
    <definedName name="header_disc_2" localSheetId="4">#REF!</definedName>
    <definedName name="header_disc_2" localSheetId="1">#REF!</definedName>
    <definedName name="header_disc_2" localSheetId="2">#REF!</definedName>
    <definedName name="header_disc_2" localSheetId="3">#REF!</definedName>
    <definedName name="header_disc_2">#REF!</definedName>
    <definedName name="header_disc_3" localSheetId="0">#REF!</definedName>
    <definedName name="header_disc_3" localSheetId="4">#REF!</definedName>
    <definedName name="header_disc_3" localSheetId="3">#REF!</definedName>
    <definedName name="header_disc_3">#REF!</definedName>
    <definedName name="hg">#N/A</definedName>
    <definedName name="hhh" localSheetId="0">#REF!</definedName>
    <definedName name="hhh" localSheetId="4">#REF!</definedName>
    <definedName name="hhh" localSheetId="1">#REF!</definedName>
    <definedName name="hhh" localSheetId="2">#REF!</definedName>
    <definedName name="hhh" localSheetId="3">#REF!</definedName>
    <definedName name="hhh">#REF!</definedName>
    <definedName name="HHHHHHH" localSheetId="0">#REF!</definedName>
    <definedName name="HHHHHHH" localSheetId="4">#REF!</definedName>
    <definedName name="HHHHHHH" localSheetId="1">#REF!</definedName>
    <definedName name="HHHHHHH" localSheetId="2">#REF!</definedName>
    <definedName name="HHHHHHH" localSheetId="3">#REF!</definedName>
    <definedName name="HHHHHHH">#REF!</definedName>
    <definedName name="hjonojm" localSheetId="0">#N/A</definedName>
    <definedName name="hjonojm">#N/A</definedName>
    <definedName name="internal_text_1" localSheetId="0">#REF!</definedName>
    <definedName name="internal_text_1" localSheetId="4">#REF!</definedName>
    <definedName name="internal_text_1" localSheetId="1">#REF!</definedName>
    <definedName name="internal_text_1" localSheetId="2">#REF!</definedName>
    <definedName name="internal_text_1" localSheetId="3">#REF!</definedName>
    <definedName name="internal_text_1">#REF!</definedName>
    <definedName name="internal_text_2" localSheetId="0">#REF!</definedName>
    <definedName name="internal_text_2" localSheetId="4">#REF!</definedName>
    <definedName name="internal_text_2" localSheetId="1">#REF!</definedName>
    <definedName name="internal_text_2" localSheetId="2">#REF!</definedName>
    <definedName name="internal_text_2" localSheetId="3">#REF!</definedName>
    <definedName name="internal_text_2">#REF!</definedName>
    <definedName name="internal_text_3" localSheetId="0">#REF!</definedName>
    <definedName name="internal_text_3" localSheetId="4">#REF!</definedName>
    <definedName name="internal_text_3" localSheetId="1">#REF!</definedName>
    <definedName name="internal_text_3" localSheetId="2">#REF!</definedName>
    <definedName name="internal_text_3" localSheetId="3">#REF!</definedName>
    <definedName name="internal_text_3">#REF!</definedName>
    <definedName name="j">#N/A</definedName>
    <definedName name="jjj">#N/A</definedName>
    <definedName name="JULY" localSheetId="0">#REF!</definedName>
    <definedName name="JULY" localSheetId="4">#REF!</definedName>
    <definedName name="JULY" localSheetId="1">#REF!</definedName>
    <definedName name="JULY" localSheetId="2">#REF!</definedName>
    <definedName name="JULY" localSheetId="3">#REF!</definedName>
    <definedName name="JULY">#REF!</definedName>
    <definedName name="K" localSheetId="0">#REF!</definedName>
    <definedName name="K" localSheetId="4">#REF!</definedName>
    <definedName name="K" localSheetId="1">#REF!</definedName>
    <definedName name="K" localSheetId="2">#REF!</definedName>
    <definedName name="K" localSheetId="3">#REF!</definedName>
    <definedName name="K">#REF!</definedName>
    <definedName name="kk" localSheetId="0">#N/A</definedName>
    <definedName name="kk">#N/A</definedName>
    <definedName name="kl" localSheetId="0">#N/A</definedName>
    <definedName name="kl">#N/A</definedName>
    <definedName name="ks">#N/A</definedName>
    <definedName name="LANDED_AMT" localSheetId="0">#REF!</definedName>
    <definedName name="LANDED_AMT" localSheetId="4">#REF!</definedName>
    <definedName name="LANDED_AMT" localSheetId="1">#REF!</definedName>
    <definedName name="LANDED_AMT" localSheetId="2">#REF!</definedName>
    <definedName name="LANDED_AMT" localSheetId="3">#REF!</definedName>
    <definedName name="LANDED_AMT">#REF!</definedName>
    <definedName name="lang_code" localSheetId="0">#REF!</definedName>
    <definedName name="lang_code" localSheetId="4">#REF!</definedName>
    <definedName name="lang_code" localSheetId="1">#REF!</definedName>
    <definedName name="lang_code" localSheetId="2">#REF!</definedName>
    <definedName name="lang_code" localSheetId="3">#REF!</definedName>
    <definedName name="lang_code">#REF!</definedName>
    <definedName name="Layout" localSheetId="0">#N/A</definedName>
    <definedName name="Layout">#N/A</definedName>
    <definedName name="layout1" localSheetId="0">#N/A</definedName>
    <definedName name="layout1">#N/A</definedName>
    <definedName name="LF" localSheetId="0">#REF!</definedName>
    <definedName name="LF" localSheetId="4">#REF!</definedName>
    <definedName name="LF" localSheetId="1">#REF!</definedName>
    <definedName name="LF" localSheetId="2">#REF!</definedName>
    <definedName name="LF" localSheetId="3">#REF!</definedName>
    <definedName name="LF">#REF!</definedName>
    <definedName name="LFM" localSheetId="0">#REF!</definedName>
    <definedName name="LFM" localSheetId="4">#REF!</definedName>
    <definedName name="LFM" localSheetId="1">#REF!</definedName>
    <definedName name="LFM" localSheetId="2">#REF!</definedName>
    <definedName name="LFM" localSheetId="3">#REF!</definedName>
    <definedName name="LFM">#REF!</definedName>
    <definedName name="ll" localSheetId="0">#N/A</definedName>
    <definedName name="ll">#N/A</definedName>
    <definedName name="lo" localSheetId="0">#N/A</definedName>
    <definedName name="lo">#N/A</definedName>
    <definedName name="LOGON_CANCEL" localSheetId="0">#N/A</definedName>
    <definedName name="LOGON_CANCEL">#N/A</definedName>
    <definedName name="Lsl" localSheetId="0">#REF!</definedName>
    <definedName name="Lsl" localSheetId="4">#REF!</definedName>
    <definedName name="Lsl" localSheetId="1">#REF!</definedName>
    <definedName name="Lsl" localSheetId="2">#REF!</definedName>
    <definedName name="Lsl" localSheetId="3">#REF!</definedName>
    <definedName name="Lsl">#REF!</definedName>
    <definedName name="LSL." localSheetId="0">#REF!</definedName>
    <definedName name="LSL." localSheetId="4">#REF!</definedName>
    <definedName name="LSL." localSheetId="1">#REF!</definedName>
    <definedName name="LSL." localSheetId="2">#REF!</definedName>
    <definedName name="LSL." localSheetId="3">#REF!</definedName>
    <definedName name="LSL.">#REF!</definedName>
    <definedName name="lsl.." localSheetId="0">#REF!</definedName>
    <definedName name="lsl.." localSheetId="4">#REF!</definedName>
    <definedName name="lsl.." localSheetId="1">#REF!</definedName>
    <definedName name="lsl.." localSheetId="2">#REF!</definedName>
    <definedName name="lsl.." localSheetId="3">#REF!</definedName>
    <definedName name="lsl..">#REF!</definedName>
    <definedName name="lsl..." localSheetId="0">#REF!</definedName>
    <definedName name="lsl..." localSheetId="4">#REF!</definedName>
    <definedName name="lsl..." localSheetId="3">#REF!</definedName>
    <definedName name="lsl...">#REF!</definedName>
    <definedName name="m">#N/A</definedName>
    <definedName name="mm">#N/A</definedName>
    <definedName name="MN" localSheetId="0">#REF!</definedName>
    <definedName name="MN" localSheetId="4">#REF!</definedName>
    <definedName name="MN" localSheetId="1">#REF!</definedName>
    <definedName name="MN" localSheetId="2">#REF!</definedName>
    <definedName name="MN" localSheetId="3">#REF!</definedName>
    <definedName name="MN">#REF!</definedName>
    <definedName name="mnm" localSheetId="0">#REF!</definedName>
    <definedName name="mnm" localSheetId="4">#REF!</definedName>
    <definedName name="mnm" localSheetId="1">#REF!</definedName>
    <definedName name="mnm" localSheetId="2">#REF!</definedName>
    <definedName name="mnm" localSheetId="3">#REF!</definedName>
    <definedName name="mnm">#REF!</definedName>
    <definedName name="MTD" localSheetId="0">#REF!</definedName>
    <definedName name="MTD" localSheetId="4">#REF!</definedName>
    <definedName name="MTD" localSheetId="1">#REF!</definedName>
    <definedName name="MTD" localSheetId="2">#REF!</definedName>
    <definedName name="MTD" localSheetId="3">#REF!</definedName>
    <definedName name="MTD">#REF!</definedName>
    <definedName name="n">#N/A</definedName>
    <definedName name="NILUFAR" localSheetId="0">#REF!</definedName>
    <definedName name="NILUFAR" localSheetId="4">#REF!</definedName>
    <definedName name="NILUFAR" localSheetId="1">#REF!</definedName>
    <definedName name="NILUFAR" localSheetId="2">#REF!</definedName>
    <definedName name="NILUFAR" localSheetId="3">#REF!</definedName>
    <definedName name="NILUFAR">#REF!</definedName>
    <definedName name="o">#N/A</definedName>
    <definedName name="od" localSheetId="0">#N/A</definedName>
    <definedName name="od">#N/A</definedName>
    <definedName name="OL">#N/A</definedName>
    <definedName name="ONEILL" localSheetId="0">#REF!</definedName>
    <definedName name="ONEILL" localSheetId="4">#REF!</definedName>
    <definedName name="ONEILL" localSheetId="1">#REF!</definedName>
    <definedName name="ONEILL" localSheetId="2">#REF!</definedName>
    <definedName name="ONEILL" localSheetId="3">#REF!</definedName>
    <definedName name="ONEILL">#REF!</definedName>
    <definedName name="onetime_no" localSheetId="0">#REF!</definedName>
    <definedName name="onetime_no" localSheetId="4">#REF!</definedName>
    <definedName name="onetime_no" localSheetId="1">#REF!</definedName>
    <definedName name="onetime_no" localSheetId="2">#REF!</definedName>
    <definedName name="onetime_no" localSheetId="3">#REF!</definedName>
    <definedName name="onetime_no">#REF!</definedName>
    <definedName name="onetime_shipto_no" localSheetId="0">#REF!</definedName>
    <definedName name="onetime_shipto_no" localSheetId="4">#REF!</definedName>
    <definedName name="onetime_shipto_no" localSheetId="1">#REF!</definedName>
    <definedName name="onetime_shipto_no" localSheetId="2">#REF!</definedName>
    <definedName name="onetime_shipto_no" localSheetId="3">#REF!</definedName>
    <definedName name="onetime_shipto_no">#REF!</definedName>
    <definedName name="op" localSheetId="0">#N/A</definedName>
    <definedName name="op">#N/A</definedName>
    <definedName name="order_mode" localSheetId="0">#REF!</definedName>
    <definedName name="order_mode" localSheetId="4">#REF!</definedName>
    <definedName name="order_mode" localSheetId="1">#REF!</definedName>
    <definedName name="order_mode" localSheetId="2">#REF!</definedName>
    <definedName name="order_mode" localSheetId="3">#REF!</definedName>
    <definedName name="order_mode">#REF!</definedName>
    <definedName name="order_no" localSheetId="0">#REF!</definedName>
    <definedName name="order_no" localSheetId="4">#REF!</definedName>
    <definedName name="order_no" localSheetId="1">#REF!</definedName>
    <definedName name="order_no" localSheetId="2">#REF!</definedName>
    <definedName name="order_no" localSheetId="3">#REF!</definedName>
    <definedName name="order_no">#REF!</definedName>
    <definedName name="order_qty_1" localSheetId="0">#REF!</definedName>
    <definedName name="order_qty_1" localSheetId="4">#REF!</definedName>
    <definedName name="order_qty_1" localSheetId="1">#REF!</definedName>
    <definedName name="order_qty_1" localSheetId="2">#REF!</definedName>
    <definedName name="order_qty_1" localSheetId="3">#REF!</definedName>
    <definedName name="order_qty_1">#REF!</definedName>
    <definedName name="order_qty_2" localSheetId="0">#REF!</definedName>
    <definedName name="order_qty_2" localSheetId="4">#REF!</definedName>
    <definedName name="order_qty_2" localSheetId="3">#REF!</definedName>
    <definedName name="order_qty_2">#REF!</definedName>
    <definedName name="order_qty_3" localSheetId="0">#REF!</definedName>
    <definedName name="order_qty_3" localSheetId="4">#REF!</definedName>
    <definedName name="order_qty_3" localSheetId="3">#REF!</definedName>
    <definedName name="order_qty_3">#REF!</definedName>
    <definedName name="order_reasons" localSheetId="0">#REF!</definedName>
    <definedName name="order_reasons" localSheetId="4">#REF!</definedName>
    <definedName name="order_reasons" localSheetId="3">#REF!</definedName>
    <definedName name="order_reasons">#REF!</definedName>
    <definedName name="order_split" localSheetId="0">#REF!</definedName>
    <definedName name="order_split" localSheetId="4">#REF!</definedName>
    <definedName name="order_split" localSheetId="3">#REF!</definedName>
    <definedName name="order_split">#REF!</definedName>
    <definedName name="order_sum_1" localSheetId="0">#REF!</definedName>
    <definedName name="order_sum_1" localSheetId="4">#REF!</definedName>
    <definedName name="order_sum_1" localSheetId="3">#REF!</definedName>
    <definedName name="order_sum_1">#REF!</definedName>
    <definedName name="order_sum_2" localSheetId="0">#REF!</definedName>
    <definedName name="order_sum_2" localSheetId="4">#REF!</definedName>
    <definedName name="order_sum_2" localSheetId="3">#REF!</definedName>
    <definedName name="order_sum_2">#REF!</definedName>
    <definedName name="order_sum_3" localSheetId="0">#REF!</definedName>
    <definedName name="order_sum_3" localSheetId="4">#REF!</definedName>
    <definedName name="order_sum_3" localSheetId="3">#REF!</definedName>
    <definedName name="order_sum_3">#REF!</definedName>
    <definedName name="order_types" localSheetId="0">#REF!</definedName>
    <definedName name="order_types" localSheetId="4">#REF!</definedName>
    <definedName name="order_types" localSheetId="3">#REF!</definedName>
    <definedName name="order_types">#REF!</definedName>
    <definedName name="org_code" localSheetId="0">#REF!</definedName>
    <definedName name="org_code" localSheetId="4">#REF!</definedName>
    <definedName name="org_code" localSheetId="3">#REF!</definedName>
    <definedName name="org_code">#REF!</definedName>
    <definedName name="OS" localSheetId="0">#REF!</definedName>
    <definedName name="OS" localSheetId="4">#REF!</definedName>
    <definedName name="OS" localSheetId="3">#REF!</definedName>
    <definedName name="OS">#REF!</definedName>
    <definedName name="P" localSheetId="0">#N/A</definedName>
    <definedName name="P">#N/A</definedName>
    <definedName name="PA" localSheetId="0">#N/A</definedName>
    <definedName name="PA">#N/A</definedName>
    <definedName name="path_code" localSheetId="0">#REF!</definedName>
    <definedName name="path_code" localSheetId="4">#REF!</definedName>
    <definedName name="path_code" localSheetId="1">#REF!</definedName>
    <definedName name="path_code" localSheetId="2">#REF!</definedName>
    <definedName name="path_code" localSheetId="3">#REF!</definedName>
    <definedName name="path_code">#REF!</definedName>
    <definedName name="payment_terms" localSheetId="0">#REF!</definedName>
    <definedName name="payment_terms" localSheetId="4">#REF!</definedName>
    <definedName name="payment_terms" localSheetId="1">#REF!</definedName>
    <definedName name="payment_terms" localSheetId="2">#REF!</definedName>
    <definedName name="payment_terms" localSheetId="3">#REF!</definedName>
    <definedName name="payment_terms">#REF!</definedName>
    <definedName name="pic_point" localSheetId="0">#REF!</definedName>
    <definedName name="pic_point" localSheetId="4">#REF!</definedName>
    <definedName name="pic_point" localSheetId="1">#REF!</definedName>
    <definedName name="pic_point" localSheetId="2">#REF!</definedName>
    <definedName name="pic_point" localSheetId="3">#REF!</definedName>
    <definedName name="pic_point">#REF!</definedName>
    <definedName name="PK" localSheetId="0">#N/A</definedName>
    <definedName name="PK">#N/A</definedName>
    <definedName name="PL">'[4]Data Validation'!$B$2:$B$20</definedName>
    <definedName name="plant" localSheetId="0">#REF!</definedName>
    <definedName name="plant" localSheetId="4">#REF!</definedName>
    <definedName name="plant" localSheetId="1">#REF!</definedName>
    <definedName name="plant" localSheetId="2">#REF!</definedName>
    <definedName name="plant" localSheetId="3">#REF!</definedName>
    <definedName name="plant">#REF!</definedName>
    <definedName name="plant_ro" localSheetId="0">#REF!</definedName>
    <definedName name="plant_ro" localSheetId="4">#REF!</definedName>
    <definedName name="plant_ro" localSheetId="1">#REF!</definedName>
    <definedName name="plant_ro" localSheetId="2">#REF!</definedName>
    <definedName name="plant_ro" localSheetId="3">#REF!</definedName>
    <definedName name="plant_ro">#REF!</definedName>
    <definedName name="PLNAME">'[5]Data Validation'!$G$2:$G$68</definedName>
    <definedName name="pp" localSheetId="0">#N/A</definedName>
    <definedName name="pp">#N/A</definedName>
    <definedName name="PR" localSheetId="0">#N/A</definedName>
    <definedName name="PR">#N/A</definedName>
    <definedName name="_xlnm.Print_Area" localSheetId="0">Analysis!$A$1:$M$36</definedName>
    <definedName name="_xlnm.Print_Area" localSheetId="4">'Analysis(100% Final)'!$A$1:$AT$11</definedName>
    <definedName name="_xlnm.Print_Area" localSheetId="1">'Analysis(100%)'!$A$1:$AQ$11</definedName>
    <definedName name="_xlnm.Print_Area" localSheetId="2">'Analysis(Final)'!$A$1:$AT$11</definedName>
    <definedName name="_xlnm.Print_Area" localSheetId="3">'Analysis(Re-Final)'!$A$1:$AT$11</definedName>
    <definedName name="_xlnm.Print_Titles" localSheetId="4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>#REF!</definedName>
    <definedName name="printed_code" localSheetId="0">#REF!</definedName>
    <definedName name="printed_code" localSheetId="4">#REF!</definedName>
    <definedName name="printed_code" localSheetId="1">#REF!</definedName>
    <definedName name="printed_code" localSheetId="2">#REF!</definedName>
    <definedName name="printed_code" localSheetId="3">#REF!</definedName>
    <definedName name="printed_code">#REF!</definedName>
    <definedName name="Proposed" localSheetId="0">#REF!</definedName>
    <definedName name="Proposed" localSheetId="4">#REF!</definedName>
    <definedName name="Proposed" localSheetId="1">#REF!</definedName>
    <definedName name="Proposed" localSheetId="2">#REF!</definedName>
    <definedName name="Proposed" localSheetId="3">#REF!</definedName>
    <definedName name="Proposed">#REF!</definedName>
    <definedName name="PSize">'[6]Data Validation'!$C$2:$C$15</definedName>
    <definedName name="q" localSheetId="0">#N/A</definedName>
    <definedName name="q">#N/A</definedName>
    <definedName name="qryCheckViewExcel" localSheetId="0">#REF!</definedName>
    <definedName name="qryCheckViewExcel" localSheetId="4">#REF!</definedName>
    <definedName name="qryCheckViewExcel" localSheetId="1">#REF!</definedName>
    <definedName name="qryCheckViewExcel" localSheetId="2">#REF!</definedName>
    <definedName name="qryCheckViewExcel" localSheetId="3">#REF!</definedName>
    <definedName name="qryCheckViewExcel">#REF!</definedName>
    <definedName name="qrySampleOrderBuy" localSheetId="0">#REF!</definedName>
    <definedName name="qrySampleOrderBuy" localSheetId="4">#REF!</definedName>
    <definedName name="qrySampleOrderBuy" localSheetId="1">#REF!</definedName>
    <definedName name="qrySampleOrderBuy" localSheetId="2">#REF!</definedName>
    <definedName name="qrySampleOrderBuy" localSheetId="3">#REF!</definedName>
    <definedName name="qrySampleOrderBuy">#REF!</definedName>
    <definedName name="QUOTA_CHRG" localSheetId="0">#REF!</definedName>
    <definedName name="QUOTA_CHRG" localSheetId="4">#REF!</definedName>
    <definedName name="QUOTA_CHRG" localSheetId="1">#REF!</definedName>
    <definedName name="QUOTA_CHRG" localSheetId="2">#REF!</definedName>
    <definedName name="QUOTA_CHRG" localSheetId="3">#REF!</definedName>
    <definedName name="QUOTA_CHRG">#REF!</definedName>
    <definedName name="rabiul" localSheetId="0">#N/A</definedName>
    <definedName name="rabiul">#N/A</definedName>
    <definedName name="RATNA" localSheetId="0">#REF!</definedName>
    <definedName name="RATNA" localSheetId="4">#REF!</definedName>
    <definedName name="RATNA" localSheetId="1">#REF!</definedName>
    <definedName name="RATNA" localSheetId="2">#REF!</definedName>
    <definedName name="RATNA" localSheetId="3">#REF!</definedName>
    <definedName name="RATNA">#REF!</definedName>
    <definedName name="reference_1" localSheetId="0">#REF!</definedName>
    <definedName name="reference_1" localSheetId="4">#REF!</definedName>
    <definedName name="reference_1" localSheetId="1">#REF!</definedName>
    <definedName name="reference_1" localSheetId="2">#REF!</definedName>
    <definedName name="reference_1" localSheetId="3">#REF!</definedName>
    <definedName name="reference_1">#REF!</definedName>
    <definedName name="reference_2" localSheetId="0">#REF!</definedName>
    <definedName name="reference_2" localSheetId="4">#REF!</definedName>
    <definedName name="reference_2" localSheetId="1">#REF!</definedName>
    <definedName name="reference_2" localSheetId="2">#REF!</definedName>
    <definedName name="reference_2" localSheetId="3">#REF!</definedName>
    <definedName name="reference_2">#REF!</definedName>
    <definedName name="reference_3" localSheetId="0">#REF!</definedName>
    <definedName name="reference_3" localSheetId="4">#REF!</definedName>
    <definedName name="reference_3" localSheetId="3">#REF!</definedName>
    <definedName name="reference_3">#REF!</definedName>
    <definedName name="rep_code" localSheetId="0">#REF!</definedName>
    <definedName name="rep_code" localSheetId="4">#REF!</definedName>
    <definedName name="rep_code" localSheetId="3">#REF!</definedName>
    <definedName name="rep_code">#REF!</definedName>
    <definedName name="RR" localSheetId="0">#N/A</definedName>
    <definedName name="RR">#N/A</definedName>
    <definedName name="RT">#N/A</definedName>
    <definedName name="ruma" localSheetId="0">#N/A</definedName>
    <definedName name="ruma">#N/A</definedName>
    <definedName name="s" localSheetId="0">#N/A</definedName>
    <definedName name="s">#N/A</definedName>
    <definedName name="sec" localSheetId="0">#REF!</definedName>
    <definedName name="sec" localSheetId="4">#REF!</definedName>
    <definedName name="sec" localSheetId="1">#REF!</definedName>
    <definedName name="sec" localSheetId="2">#REF!</definedName>
    <definedName name="sec" localSheetId="3">#REF!</definedName>
    <definedName name="sec">#REF!</definedName>
    <definedName name="sector3" localSheetId="0">#REF!</definedName>
    <definedName name="sector3" localSheetId="4">#REF!</definedName>
    <definedName name="sector3" localSheetId="1">#REF!</definedName>
    <definedName name="sector3" localSheetId="2">#REF!</definedName>
    <definedName name="sector3" localSheetId="3">#REF!</definedName>
    <definedName name="sector3">#REF!</definedName>
    <definedName name="sent_code" localSheetId="0">#REF!</definedName>
    <definedName name="sent_code" localSheetId="4">#REF!</definedName>
    <definedName name="sent_code" localSheetId="1">#REF!</definedName>
    <definedName name="sent_code" localSheetId="2">#REF!</definedName>
    <definedName name="sent_code" localSheetId="3">#REF!</definedName>
    <definedName name="sent_code">#REF!</definedName>
    <definedName name="ship_code" localSheetId="0">#REF!</definedName>
    <definedName name="ship_code" localSheetId="4">#REF!</definedName>
    <definedName name="ship_code" localSheetId="3">#REF!</definedName>
    <definedName name="ship_code">#REF!</definedName>
    <definedName name="ship_instruct_1" localSheetId="0">#REF!</definedName>
    <definedName name="ship_instruct_1" localSheetId="4">#REF!</definedName>
    <definedName name="ship_instruct_1" localSheetId="3">#REF!</definedName>
    <definedName name="ship_instruct_1">#REF!</definedName>
    <definedName name="ship_instruct_2" localSheetId="0">#REF!</definedName>
    <definedName name="ship_instruct_2" localSheetId="4">#REF!</definedName>
    <definedName name="ship_instruct_2" localSheetId="3">#REF!</definedName>
    <definedName name="ship_instruct_2">#REF!</definedName>
    <definedName name="ship_instruct_3" localSheetId="0">#REF!</definedName>
    <definedName name="ship_instruct_3" localSheetId="4">#REF!</definedName>
    <definedName name="ship_instruct_3" localSheetId="3">#REF!</definedName>
    <definedName name="ship_instruct_3">#REF!</definedName>
    <definedName name="sk" localSheetId="0">#N/A</definedName>
    <definedName name="sk">#N/A</definedName>
    <definedName name="Spring">[7]PARAMS!$B$23</definedName>
    <definedName name="ss" localSheetId="0">#N/A</definedName>
    <definedName name="ss">#N/A</definedName>
    <definedName name="Summary" localSheetId="0">#REF!</definedName>
    <definedName name="Summary" localSheetId="4">#REF!</definedName>
    <definedName name="Summary" localSheetId="1">#REF!</definedName>
    <definedName name="Summary" localSheetId="2">#REF!</definedName>
    <definedName name="Summary" localSheetId="3">#REF!</definedName>
    <definedName name="Summary">#REF!</definedName>
    <definedName name="T.Con">#N/A</definedName>
    <definedName name="target2">#N/A</definedName>
    <definedName name="TG">#N/A</definedName>
    <definedName name="TGTVS">#N/A</definedName>
    <definedName name="Thread.Con">#N/A</definedName>
    <definedName name="TOTAL_FABRC" localSheetId="0">#REF!</definedName>
    <definedName name="TOTAL_FABRC" localSheetId="4">#REF!</definedName>
    <definedName name="TOTAL_FABRC" localSheetId="1">#REF!</definedName>
    <definedName name="TOTAL_FABRC" localSheetId="2">#REF!</definedName>
    <definedName name="TOTAL_FABRC" localSheetId="3">#REF!</definedName>
    <definedName name="TOTAL_FABRC">#REF!</definedName>
    <definedName name="TOTAL_FABRCCHR" localSheetId="0">#REF!</definedName>
    <definedName name="TOTAL_FABRCCHR" localSheetId="4">#REF!</definedName>
    <definedName name="TOTAL_FABRCCHR" localSheetId="1">#REF!</definedName>
    <definedName name="TOTAL_FABRCCHR" localSheetId="2">#REF!</definedName>
    <definedName name="TOTAL_FABRCCHR" localSheetId="3">#REF!</definedName>
    <definedName name="TOTAL_FABRCCHR">#REF!</definedName>
    <definedName name="Total_Material" localSheetId="0">#REF!</definedName>
    <definedName name="Total_Material" localSheetId="4">#REF!</definedName>
    <definedName name="Total_Material" localSheetId="1">#REF!</definedName>
    <definedName name="Total_Material" localSheetId="2">#REF!</definedName>
    <definedName name="Total_Material" localSheetId="3">#REF!</definedName>
    <definedName name="Total_Material">#REF!</definedName>
    <definedName name="TOTAL_PACK" localSheetId="0">#REF!</definedName>
    <definedName name="TOTAL_PACK" localSheetId="4">#REF!</definedName>
    <definedName name="TOTAL_PACK" localSheetId="3">#REF!</definedName>
    <definedName name="TOTAL_PACK">#REF!</definedName>
    <definedName name="TOTAL_PACKCHR" localSheetId="0">#REF!</definedName>
    <definedName name="TOTAL_PACKCHR" localSheetId="4">#REF!</definedName>
    <definedName name="TOTAL_PACKCHR" localSheetId="3">#REF!</definedName>
    <definedName name="TOTAL_PACKCHR">#REF!</definedName>
    <definedName name="TOTAL_TRIMCHR" localSheetId="0">#REF!</definedName>
    <definedName name="TOTAL_TRIMCHR" localSheetId="4">#REF!</definedName>
    <definedName name="TOTAL_TRIMCHR" localSheetId="3">#REF!</definedName>
    <definedName name="TOTAL_TRIMCHR">#REF!</definedName>
    <definedName name="TOTAL_TRIMS" localSheetId="0">#REF!</definedName>
    <definedName name="TOTAL_TRIMS" localSheetId="4">#REF!</definedName>
    <definedName name="TOTAL_TRIMS" localSheetId="3">#REF!</definedName>
    <definedName name="TOTAL_TRIMS">#REF!</definedName>
    <definedName name="TSl" localSheetId="0">#REF!</definedName>
    <definedName name="TSl" localSheetId="4">#REF!</definedName>
    <definedName name="TSl" localSheetId="3">#REF!</definedName>
    <definedName name="TSl">#REF!</definedName>
    <definedName name="Tsl." localSheetId="0">#REF!</definedName>
    <definedName name="Tsl." localSheetId="4">#REF!</definedName>
    <definedName name="Tsl." localSheetId="3">#REF!</definedName>
    <definedName name="Tsl.">#REF!</definedName>
    <definedName name="tsl.." localSheetId="0">#REF!</definedName>
    <definedName name="tsl.." localSheetId="4">#REF!</definedName>
    <definedName name="tsl.." localSheetId="3">#REF!</definedName>
    <definedName name="tsl..">#REF!</definedName>
    <definedName name="tt">#N/A</definedName>
    <definedName name="ui" localSheetId="0">[3]Overview!#REF!</definedName>
    <definedName name="ui" localSheetId="4">[3]Overview!#REF!</definedName>
    <definedName name="ui" localSheetId="3">[3]Overview!#REF!</definedName>
    <definedName name="ui">[3]Overview!#REF!</definedName>
    <definedName name="uik" localSheetId="0">[3]Overview!#REF!</definedName>
    <definedName name="uik" localSheetId="4">[3]Overview!#REF!</definedName>
    <definedName name="uik" localSheetId="3">[3]Overview!#REF!</definedName>
    <definedName name="uik">[3]Overview!#REF!</definedName>
    <definedName name="Updated" localSheetId="0">#REF!</definedName>
    <definedName name="Updated" localSheetId="4">#REF!</definedName>
    <definedName name="Updated" localSheetId="1">#REF!</definedName>
    <definedName name="Updated" localSheetId="2">#REF!</definedName>
    <definedName name="Updated" localSheetId="3">#REF!</definedName>
    <definedName name="Updated">#REF!</definedName>
    <definedName name="use_delblock" localSheetId="0">#REF!</definedName>
    <definedName name="use_delblock" localSheetId="4">#REF!</definedName>
    <definedName name="use_delblock" localSheetId="1">#REF!</definedName>
    <definedName name="use_delblock" localSheetId="2">#REF!</definedName>
    <definedName name="use_delblock" localSheetId="3">#REF!</definedName>
    <definedName name="use_delblock">#REF!</definedName>
    <definedName name="use_delterms" localSheetId="0">#REF!</definedName>
    <definedName name="use_delterms" localSheetId="4">#REF!</definedName>
    <definedName name="use_delterms" localSheetId="1">#REF!</definedName>
    <definedName name="use_delterms" localSheetId="2">#REF!</definedName>
    <definedName name="use_delterms" localSheetId="3">#REF!</definedName>
    <definedName name="use_delterms">#REF!</definedName>
    <definedName name="use_payterms" localSheetId="0">#REF!</definedName>
    <definedName name="use_payterms" localSheetId="4">#REF!</definedName>
    <definedName name="use_payterms" localSheetId="3">#REF!</definedName>
    <definedName name="use_payterms">#REF!</definedName>
    <definedName name="uu">#N/A</definedName>
    <definedName name="UYH">#N/A</definedName>
    <definedName name="value_days_1" localSheetId="0">#REF!</definedName>
    <definedName name="value_days_1" localSheetId="4">#REF!</definedName>
    <definedName name="value_days_1" localSheetId="1">#REF!</definedName>
    <definedName name="value_days_1" localSheetId="2">#REF!</definedName>
    <definedName name="value_days_1" localSheetId="3">#REF!</definedName>
    <definedName name="value_days_1">#REF!</definedName>
    <definedName name="value_days_2" localSheetId="0">#REF!</definedName>
    <definedName name="value_days_2" localSheetId="4">#REF!</definedName>
    <definedName name="value_days_2" localSheetId="1">#REF!</definedName>
    <definedName name="value_days_2" localSheetId="2">#REF!</definedName>
    <definedName name="value_days_2" localSheetId="3">#REF!</definedName>
    <definedName name="value_days_2">#REF!</definedName>
    <definedName name="value_days_3" localSheetId="0">#REF!</definedName>
    <definedName name="value_days_3" localSheetId="4">#REF!</definedName>
    <definedName name="value_days_3" localSheetId="1">#REF!</definedName>
    <definedName name="value_days_3" localSheetId="2">#REF!</definedName>
    <definedName name="value_days_3" localSheetId="3">#REF!</definedName>
    <definedName name="value_days_3">#REF!</definedName>
    <definedName name="w" localSheetId="0">#N/A</definedName>
    <definedName name="w">#N/A</definedName>
    <definedName name="WHOLE_SALE_AMT" localSheetId="0">#REF!</definedName>
    <definedName name="WHOLE_SALE_AMT" localSheetId="4">#REF!</definedName>
    <definedName name="WHOLE_SALE_AMT" localSheetId="1">#REF!</definedName>
    <definedName name="WHOLE_SALE_AMT" localSheetId="2">#REF!</definedName>
    <definedName name="WHOLE_SALE_AMT" localSheetId="3">#REF!</definedName>
    <definedName name="WHOLE_SALE_AMT">#REF!</definedName>
    <definedName name="wqq" localSheetId="0">#N/A</definedName>
    <definedName name="wqq">#N/A</definedName>
    <definedName name="WS" localSheetId="0">#REF!</definedName>
    <definedName name="WS" localSheetId="4">#REF!</definedName>
    <definedName name="WS" localSheetId="1">#REF!</definedName>
    <definedName name="WS" localSheetId="2">#REF!</definedName>
    <definedName name="WS" localSheetId="3">#REF!</definedName>
    <definedName name="WS">#REF!</definedName>
    <definedName name="x" localSheetId="0">#N/A</definedName>
    <definedName name="x">#N/A</definedName>
    <definedName name="xyx" localSheetId="0">#REF!</definedName>
    <definedName name="xyx" localSheetId="4">#REF!</definedName>
    <definedName name="xyx" localSheetId="1">#REF!</definedName>
    <definedName name="xyx" localSheetId="2">#REF!</definedName>
    <definedName name="xyx" localSheetId="3">#REF!</definedName>
    <definedName name="xyx">#REF!</definedName>
    <definedName name="y">#N/A</definedName>
    <definedName name="yy" localSheetId="0">#N/A</definedName>
    <definedName name="yy">#N/A</definedName>
    <definedName name="z" localSheetId="0">#N/A</definedName>
    <definedName name="z">#N/A</definedName>
    <definedName name="라" localSheetId="0">#REF!</definedName>
    <definedName name="라" localSheetId="4">#REF!</definedName>
    <definedName name="라" localSheetId="1">#REF!</definedName>
    <definedName name="라" localSheetId="2">#REF!</definedName>
    <definedName name="라" localSheetId="3">#REF!</definedName>
    <definedName name="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4" l="1"/>
  <c r="G9" i="4"/>
  <c r="G19" i="4"/>
  <c r="I8" i="8" l="1"/>
  <c r="I7" i="8"/>
  <c r="I6" i="8"/>
  <c r="I5" i="8"/>
  <c r="H4" i="8"/>
  <c r="G4" i="8" s="1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AU3" i="7"/>
  <c r="AV3" i="7"/>
  <c r="AW3" i="7"/>
  <c r="AX3" i="7"/>
  <c r="AY3" i="7"/>
  <c r="AZ3" i="7"/>
  <c r="BA3" i="7"/>
  <c r="BB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I4" i="8" l="1"/>
  <c r="H4" i="7"/>
  <c r="H4" i="6" l="1"/>
  <c r="AS3" i="6" l="1"/>
  <c r="AT3" i="6"/>
  <c r="AR3" i="6"/>
  <c r="C3" i="4" l="1"/>
  <c r="G4" i="5" l="1"/>
  <c r="J3" i="7" l="1"/>
  <c r="I8" i="7" l="1"/>
  <c r="I7" i="7"/>
  <c r="I6" i="7"/>
  <c r="I5" i="7"/>
  <c r="G4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I4" i="7" l="1"/>
  <c r="AQ3" i="5" l="1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I3" i="5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J3" i="6"/>
  <c r="I8" i="6" l="1"/>
  <c r="I7" i="6"/>
  <c r="I6" i="6"/>
  <c r="I5" i="6"/>
  <c r="I4" i="6" l="1"/>
  <c r="G4" i="6"/>
  <c r="H4" i="5" l="1"/>
</calcChain>
</file>

<file path=xl/sharedStrings.xml><?xml version="1.0" encoding="utf-8"?>
<sst xmlns="http://schemas.openxmlformats.org/spreadsheetml/2006/main" count="340" uniqueCount="196">
  <si>
    <t>100% Team - Pcs by Pcs</t>
  </si>
  <si>
    <t xml:space="preserve">Factory Name : </t>
  </si>
  <si>
    <t xml:space="preserve">Date: </t>
  </si>
  <si>
    <t>Buyer Name:</t>
  </si>
  <si>
    <t>Item :</t>
  </si>
  <si>
    <t xml:space="preserve">Team Leader : </t>
  </si>
  <si>
    <t>Top 5 Defects</t>
  </si>
  <si>
    <t>SL</t>
  </si>
  <si>
    <t>Defects Name</t>
  </si>
  <si>
    <t>Defect Qty</t>
  </si>
  <si>
    <t>Ratio (%)</t>
  </si>
  <si>
    <t xml:space="preserve">                              Inspected Qty : </t>
  </si>
  <si>
    <t>Passed Qty :</t>
  </si>
  <si>
    <t xml:space="preserve">Defect Qty : </t>
  </si>
  <si>
    <t xml:space="preserve">Defect Ratio : </t>
  </si>
  <si>
    <t xml:space="preserve">   Shipment Qty : </t>
  </si>
  <si>
    <t xml:space="preserve"> Inspected Qty :  </t>
  </si>
  <si>
    <t xml:space="preserve">Defect Qty :  </t>
  </si>
  <si>
    <t xml:space="preserve"> Defect Ratio : </t>
  </si>
  <si>
    <t>A.Material Defects</t>
  </si>
  <si>
    <t>B: Sewing Defects</t>
  </si>
  <si>
    <t>C: Trim Defects</t>
  </si>
  <si>
    <t>D: Finishing Defects</t>
  </si>
  <si>
    <t>E: Others</t>
  </si>
  <si>
    <t>Factory</t>
  </si>
  <si>
    <t>Inspection Type</t>
  </si>
  <si>
    <t>Style NO.</t>
  </si>
  <si>
    <t>Item Name</t>
  </si>
  <si>
    <t>Inspection Qty.</t>
  </si>
  <si>
    <t>Pass qty</t>
  </si>
  <si>
    <t>Defect Qty.</t>
  </si>
  <si>
    <t>Defect %</t>
  </si>
  <si>
    <t>Grand Total</t>
  </si>
  <si>
    <t xml:space="preserve">  Shipment Qty </t>
  </si>
  <si>
    <t>Persons :</t>
  </si>
  <si>
    <t>Total Overtime Days :</t>
  </si>
  <si>
    <t>Overtime Person (average) :</t>
  </si>
  <si>
    <t>Overtime Hour (average) :</t>
  </si>
  <si>
    <t>Overtime Production (average) :</t>
  </si>
  <si>
    <t>1.Damage</t>
  </si>
  <si>
    <t>2.Needle breakage defect</t>
  </si>
  <si>
    <t>3.Hole, tear</t>
  </si>
  <si>
    <t>4.NEP</t>
  </si>
  <si>
    <t>5.SLUB</t>
  </si>
  <si>
    <t>6.Weft defect</t>
  </si>
  <si>
    <t>7.Unexpected things interwoven</t>
  </si>
  <si>
    <t>8.Bowing</t>
  </si>
  <si>
    <t>9.Odor</t>
  </si>
  <si>
    <t>10.Uneven dyeing</t>
  </si>
  <si>
    <t>11.Texture, surface defect</t>
  </si>
  <si>
    <t>12.Warp and weft defect</t>
  </si>
  <si>
    <t>13.Yarn severance</t>
  </si>
  <si>
    <t>1.Hue difference</t>
  </si>
  <si>
    <t>2.Unevenness</t>
  </si>
  <si>
    <t>3.Pieces not symmetrical</t>
  </si>
  <si>
    <t>4.Deformation (Defect in shape)</t>
  </si>
  <si>
    <t>5.Tight or loose part of fabric</t>
  </si>
  <si>
    <t>6.Uneven seam</t>
  </si>
  <si>
    <t>7.Spiralty, wrinkle</t>
  </si>
  <si>
    <t>8.PUCKERING</t>
  </si>
  <si>
    <t>9.Corrugation</t>
  </si>
  <si>
    <t>10.Thread breakage</t>
  </si>
  <si>
    <t>11.Lack of elasticity</t>
  </si>
  <si>
    <t>12.Incorrect stitching number</t>
  </si>
  <si>
    <t>13.Stitches out of seam allowance</t>
  </si>
  <si>
    <t>14.Missing stitch</t>
  </si>
  <si>
    <t>15.Lack of seam allowance</t>
  </si>
  <si>
    <t>16.Unexpected tuck</t>
  </si>
  <si>
    <t>17.Unexpected fullness</t>
  </si>
  <si>
    <t>18.Needle mark</t>
  </si>
  <si>
    <t>19.Sewing defects caused by machine</t>
  </si>
  <si>
    <t>20.Incorrect size of lining</t>
  </si>
  <si>
    <t>21.Skipped stitch</t>
  </si>
  <si>
    <t>22.Sewing involving unexpected parts</t>
  </si>
  <si>
    <t>23.Missing sewing process</t>
  </si>
  <si>
    <t>24.Mislocated bar-tack</t>
  </si>
  <si>
    <t>25.Incorrect thread tension</t>
  </si>
  <si>
    <t>26.Falling off of a thread</t>
  </si>
  <si>
    <t>27.Lack of reverse stitch</t>
  </si>
  <si>
    <t>28.Incorrect easing</t>
  </si>
  <si>
    <t>29.Piecing defect</t>
  </si>
  <si>
    <t>30.Incorrect lapped seam</t>
  </si>
  <si>
    <t>31.Incorrect trimming</t>
  </si>
  <si>
    <t>32.Lack of strength</t>
  </si>
  <si>
    <t>33.Incorrect buttonhole sewing</t>
  </si>
  <si>
    <t>34.Incorrect brand label sewing</t>
  </si>
  <si>
    <t>35.Sewing slip</t>
  </si>
  <si>
    <t>36.Incorrect position</t>
  </si>
  <si>
    <t>37.Incorrect pattern matching</t>
  </si>
  <si>
    <t>38.Peel off glue/delamination</t>
  </si>
  <si>
    <t>39.Visible/see through glue</t>
  </si>
  <si>
    <t>40.Bonding seam uneven/wavy</t>
  </si>
  <si>
    <t>41.Bonding seam not catch up/bad selvaged</t>
  </si>
  <si>
    <t>42.Stick glue/leaking glue</t>
  </si>
  <si>
    <t>43.Mold Shape</t>
  </si>
  <si>
    <t>44.Poor application glue position</t>
  </si>
  <si>
    <t>1.Unsecured rivet and snap buttons</t>
  </si>
  <si>
    <t>2.Incorrect swaging</t>
  </si>
  <si>
    <t>3.Falling off of buttons</t>
  </si>
  <si>
    <t>4.Burr</t>
  </si>
  <si>
    <t>5.Incorrect zippers</t>
  </si>
  <si>
    <t>6.Incorrect indication of sub materials</t>
  </si>
  <si>
    <t>7.Incorrect quality of materials</t>
  </si>
  <si>
    <t>8.Missing accessories</t>
  </si>
  <si>
    <t>9.Adhesive interlining</t>
  </si>
  <si>
    <t>1.Dust, lint</t>
  </si>
  <si>
    <t>2.Smear, stain</t>
  </si>
  <si>
    <t>3.Size</t>
  </si>
  <si>
    <t>4.Peel off and misalignment of prints</t>
  </si>
  <si>
    <t>5.Pressure mark</t>
  </si>
  <si>
    <t>6.Wash finish</t>
  </si>
  <si>
    <t>1.Thread</t>
  </si>
  <si>
    <t>2.Hazardous object/ foreign bodies</t>
  </si>
  <si>
    <t>3.Odor</t>
  </si>
  <si>
    <t>1.Bad packing</t>
  </si>
  <si>
    <t>2.Wrong quantity packed</t>
  </si>
  <si>
    <t>3.Others</t>
  </si>
  <si>
    <t>1.Nep, Slub, Plunge</t>
  </si>
  <si>
    <t>2.Holes, Scratch, Broken</t>
  </si>
  <si>
    <t>3.Color Shading, Color Difference</t>
  </si>
  <si>
    <t>4.Bad Handfeel, Bad Surface</t>
  </si>
  <si>
    <t>5.Yarn Slanting</t>
  </si>
  <si>
    <t>6.Bad Smell</t>
  </si>
  <si>
    <t>7.Bad Form, Uneven, Unbalance</t>
  </si>
  <si>
    <t>8.Checked Mismatched, Bad Embroidery, Print Problem</t>
  </si>
  <si>
    <t>9.Crawling , Twisting, Wrinkle</t>
  </si>
  <si>
    <t>10.Puckering, Folding line</t>
  </si>
  <si>
    <t>11.Broken Seam</t>
  </si>
  <si>
    <t>12.Broken Fabric Yarn</t>
  </si>
  <si>
    <t>13.Bad Stretch</t>
  </si>
  <si>
    <t>14.Wrong Thread Density, Thread Tension Defect</t>
  </si>
  <si>
    <t>15.Bad Sewing, Missing stitch, Dropped Sewing</t>
  </si>
  <si>
    <t>16.Needle Hole, Bad Seam Connection</t>
  </si>
  <si>
    <t>17.Exposed</t>
  </si>
  <si>
    <t>18.Skipped Stitch</t>
  </si>
  <si>
    <t>19.Joining Seam, Pleated</t>
  </si>
  <si>
    <t>20.Lacked Sewing, Missing Bartack</t>
  </si>
  <si>
    <t>21.Bad Reinforce Stitch</t>
  </si>
  <si>
    <t>22.Bad Quality (Dropped Color, Burr, Rust, Stain)</t>
  </si>
  <si>
    <t xml:space="preserve">23.Bad Attach( Bad Form, Broken, Distortion) </t>
  </si>
  <si>
    <t>24.Lacked Attaching, Drop Out</t>
  </si>
  <si>
    <t>25.Attached At Wrong Position, Wrong Items</t>
  </si>
  <si>
    <t>26.Poorly Functioning</t>
  </si>
  <si>
    <t>27.Bad Thread Trimming, Thread End Left</t>
  </si>
  <si>
    <t>28.Stain, Blotch</t>
  </si>
  <si>
    <t>29.Bad Form, Uneven</t>
  </si>
  <si>
    <t>30.Shining, Wrinkle</t>
  </si>
  <si>
    <t>31.Bad Washing (Color, Handfeeling）</t>
  </si>
  <si>
    <t>32.Wrong Measurement</t>
  </si>
  <si>
    <t>33.Bad Packing</t>
  </si>
  <si>
    <t>34.Wrong Quantity Packed</t>
  </si>
  <si>
    <t>35.Others</t>
  </si>
  <si>
    <t>Categories</t>
  </si>
  <si>
    <t>1.Nep, Slub, Fly</t>
  </si>
  <si>
    <t>2.Holes, scratches, tears</t>
  </si>
  <si>
    <t>3.Uneven Dyeing, Color shading,warp/weft streak</t>
  </si>
  <si>
    <t xml:space="preserve">4.Poor Texture, Bad handfeel, Bad surface </t>
  </si>
  <si>
    <t>5.Skew</t>
  </si>
  <si>
    <t>6.Bad smell/ Odor</t>
  </si>
  <si>
    <t>7.Other</t>
  </si>
  <si>
    <t>8.Poor Shape (Bad form), non-symmetrical, dislocation</t>
  </si>
  <si>
    <t>9.Poor Joining of pattern/ Poor print/embroidery</t>
  </si>
  <si>
    <t>10.Staggered seams,spirality,wrinkles</t>
  </si>
  <si>
    <t>11.Puckering, gathered stitching</t>
  </si>
  <si>
    <t>12.Broken Stitches/ Broken Seam</t>
  </si>
  <si>
    <t>13.Broken Material ( From Stitching)</t>
  </si>
  <si>
    <t>14.Insufficient stretch in seams</t>
  </si>
  <si>
    <t>15.Poor stitch length, poor thred tension</t>
  </si>
  <si>
    <t>16.Insufficient seam allowance, run-off stitches</t>
  </si>
  <si>
    <t>17.Needle marks, restitched seams</t>
  </si>
  <si>
    <t>18.Exposed lining</t>
  </si>
  <si>
    <t>19.Skipped stitches</t>
  </si>
  <si>
    <t>20.Sewn by mistake, puckered seams,pleated</t>
  </si>
  <si>
    <t>21.Missing stitches, missing bartacks</t>
  </si>
  <si>
    <t>22.Insufficient strength /Bad reinforce stitch</t>
  </si>
  <si>
    <t>23.Other</t>
  </si>
  <si>
    <t>24.Poor Quality (faded,burred,rusty,dirty)</t>
  </si>
  <si>
    <t>25.Poorly attached trim (deformed,damaged)</t>
  </si>
  <si>
    <t>26.Missing Trim ( detached)</t>
  </si>
  <si>
    <t>27.Misplaced/ incorrect trim</t>
  </si>
  <si>
    <t>28.Poorly functioning</t>
  </si>
  <si>
    <t>29.Bad thread trimming ,lint ( thread end left)</t>
  </si>
  <si>
    <t>30.Dirty, Stains</t>
  </si>
  <si>
    <t>31.Poor shape, Bad form, non-symmetrical</t>
  </si>
  <si>
    <t>32.Shining mark, wrinkles</t>
  </si>
  <si>
    <t>33.Poor wash Treatment</t>
  </si>
  <si>
    <t>34.Poor Measurment /wrong Measurement</t>
  </si>
  <si>
    <t>35.Poor Packaging</t>
  </si>
  <si>
    <t>36.Wrong quantity Packed</t>
  </si>
  <si>
    <t>37Other</t>
  </si>
  <si>
    <t>01 Feb 2026 to 15 Mar 2026 (35 Days)</t>
  </si>
  <si>
    <t>February, 2026</t>
  </si>
  <si>
    <t>March, 2026</t>
  </si>
  <si>
    <t>Total- Audit :</t>
  </si>
  <si>
    <t>Final Team - Final</t>
  </si>
  <si>
    <t>Final Team - Re-Final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</si>
</sst>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mmm\,\ d\,\ yyyy"/>
    <numFmt numFmtId="167" formatCode="\$#,##0.00_);\(\$#,##0.00\)"/>
    <numFmt numFmtId="168" formatCode="&quot;$&quot;#,##0;\-&quot;$&quot;#,##0"/>
    <numFmt numFmtId="169" formatCode="#,##0.0_);\(#,##0.0\)"/>
    <numFmt numFmtId="170" formatCode="_-* #,##0\ _F_-;\-* #,##0\ _F_-;_-* &quot;-&quot;\ _F_-;_-@_-"/>
    <numFmt numFmtId="171" formatCode="_-* #,##0.00\ _F_-;\-* #,##0.00\ _F_-;_-* &quot;-&quot;??\ _F_-;_-@_-"/>
    <numFmt numFmtId="172" formatCode="_-* #,##0\ &quot;F&quot;_-;\-* #,##0\ &quot;F&quot;_-;_-* &quot;-&quot;\ &quot;F&quot;_-;_-@_-"/>
    <numFmt numFmtId="173" formatCode="_-* #,##0.00\ &quot;F&quot;_-;\-* #,##0.00\ &quot;F&quot;_-;_-* &quot;-&quot;??\ &quot;F&quot;_-;_-@_-"/>
    <numFmt numFmtId="174" formatCode="0.00_)"/>
    <numFmt numFmtId="175" formatCode="_-* #,##0.00_-;\-* #,##0.00_-;_-* &quot;-&quot;??_-;_-@_-"/>
    <numFmt numFmtId="176" formatCode="_-* #,##0_-;\-* #,##0_-;_-* &quot;-&quot;_-;_-@_-"/>
    <numFmt numFmtId="177" formatCode="mm/dd/yy"/>
    <numFmt numFmtId="178" formatCode="_ * #,##0_ ;_ * \-#,##0_ ;_ * &quot;-&quot;_ ;_ @_ "/>
    <numFmt numFmtId="179" formatCode="0.0000000000"/>
    <numFmt numFmtId="180" formatCode="m/d"/>
    <numFmt numFmtId="181" formatCode="0;\-00;;@"/>
  </numFmts>
  <fonts count="10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17"/>
      <name val="??"/>
      <charset val="134"/>
    </font>
    <font>
      <sz val="11"/>
      <color indexed="62"/>
      <name val="??"/>
      <charset val="134"/>
    </font>
    <font>
      <b/>
      <sz val="15"/>
      <color indexed="56"/>
      <name val="??"/>
      <charset val="134"/>
    </font>
    <font>
      <b/>
      <sz val="13"/>
      <color indexed="56"/>
      <name val="??"/>
      <charset val="134"/>
    </font>
    <font>
      <b/>
      <sz val="11"/>
      <color indexed="56"/>
      <name val="??"/>
      <charset val="134"/>
    </font>
    <font>
      <sz val="11"/>
      <color indexed="10"/>
      <name val="??"/>
      <charset val="134"/>
    </font>
    <font>
      <b/>
      <sz val="11"/>
      <color indexed="9"/>
      <name val="??"/>
      <charset val="134"/>
    </font>
    <font>
      <sz val="11"/>
      <color indexed="9"/>
      <name val="??"/>
      <charset val="134"/>
    </font>
    <font>
      <sz val="11"/>
      <color indexed="52"/>
      <name val="??"/>
      <charset val="134"/>
    </font>
    <font>
      <sz val="10"/>
      <name val="Arial"/>
      <family val="2"/>
    </font>
    <font>
      <sz val="11"/>
      <color indexed="20"/>
      <name val="??"/>
      <charset val="134"/>
    </font>
    <font>
      <sz val="10"/>
      <color indexed="8"/>
      <name val="Arial"/>
      <family val="2"/>
    </font>
    <font>
      <sz val="10"/>
      <name val="Helv"/>
      <family val="2"/>
    </font>
    <font>
      <sz val="11"/>
      <color indexed="8"/>
      <name val="??"/>
      <charset val="134"/>
    </font>
    <font>
      <sz val="11"/>
      <color indexed="8"/>
      <name val="맑은 고딕"/>
    </font>
    <font>
      <sz val="11"/>
      <color indexed="8"/>
      <name val="宋体"/>
      <charset val="134"/>
    </font>
    <font>
      <sz val="12"/>
      <name val="·s²Ó©úÅé"/>
      <charset val="136"/>
    </font>
    <font>
      <sz val="12"/>
      <name val="Times New Roman"/>
      <family val="1"/>
    </font>
    <font>
      <sz val="10"/>
      <color indexed="9"/>
      <name val="Arial"/>
      <family val="2"/>
    </font>
    <font>
      <sz val="11"/>
      <color indexed="9"/>
      <name val="맑은 고딕"/>
    </font>
    <font>
      <sz val="11"/>
      <color indexed="9"/>
      <name val="宋体"/>
      <charset val="134"/>
    </font>
    <font>
      <sz val="8"/>
      <name val="Times New Roman"/>
      <family val="1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1"/>
      <color indexed="8"/>
      <name val="Calibri"/>
      <family val="2"/>
    </font>
    <font>
      <sz val="10"/>
      <name val="MS Serif"/>
      <family val="1"/>
    </font>
    <font>
      <sz val="10"/>
      <name val="Courier"/>
      <family val="3"/>
    </font>
    <font>
      <sz val="11"/>
      <color indexed="8"/>
      <name val="Calibri"/>
      <family val="3"/>
      <charset val="129"/>
    </font>
    <font>
      <sz val="10"/>
      <color indexed="16"/>
      <name val="MS Serif"/>
      <family val="1"/>
    </font>
    <font>
      <i/>
      <sz val="10"/>
      <color indexed="23"/>
      <name val="Arial"/>
      <family val="2"/>
    </font>
    <font>
      <u/>
      <sz val="10"/>
      <color indexed="36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2"/>
      <name val="Helv"/>
    </font>
    <font>
      <sz val="10"/>
      <color indexed="52"/>
      <name val="Arial"/>
      <family val="2"/>
    </font>
    <font>
      <sz val="12"/>
      <color indexed="9"/>
      <name val="Helv"/>
    </font>
    <font>
      <sz val="10"/>
      <color indexed="60"/>
      <name val="Arial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1"/>
      <color theme="1"/>
      <name val="Calibri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sz val="10"/>
      <name val="Tms Rmn"/>
    </font>
    <font>
      <sz val="8"/>
      <name val="Helv"/>
    </font>
    <font>
      <b/>
      <sz val="8"/>
      <color indexed="8"/>
      <name val="Helv"/>
    </font>
    <font>
      <b/>
      <sz val="18"/>
      <color indexed="56"/>
      <name val="Cambria"/>
      <family val="1"/>
    </font>
    <font>
      <sz val="10"/>
      <color indexed="10"/>
      <name val="Arial"/>
      <family val="2"/>
    </font>
    <font>
      <sz val="11"/>
      <color indexed="10"/>
      <name val="맑은 고딕"/>
    </font>
    <font>
      <b/>
      <sz val="11"/>
      <color indexed="52"/>
      <name val="맑은 고딕"/>
    </font>
    <font>
      <sz val="11"/>
      <color indexed="20"/>
      <name val="맑은 고딕"/>
    </font>
    <font>
      <sz val="11"/>
      <color indexed="60"/>
      <name val="맑은 고딕"/>
    </font>
    <font>
      <i/>
      <sz val="11"/>
      <color indexed="23"/>
      <name val="맑은 고딕"/>
    </font>
    <font>
      <b/>
      <sz val="11"/>
      <color indexed="9"/>
      <name val="맑은 고딕"/>
    </font>
    <font>
      <sz val="11"/>
      <color indexed="52"/>
      <name val="맑은 고딕"/>
    </font>
    <font>
      <b/>
      <sz val="11"/>
      <color indexed="8"/>
      <name val="맑은 고딕"/>
    </font>
    <font>
      <sz val="11"/>
      <color indexed="62"/>
      <name val="맑은 고딕"/>
    </font>
    <font>
      <b/>
      <sz val="18"/>
      <color indexed="56"/>
      <name val="맑은 고딕"/>
    </font>
    <font>
      <b/>
      <sz val="15"/>
      <color indexed="56"/>
      <name val="맑은 고딕"/>
    </font>
    <font>
      <b/>
      <sz val="13"/>
      <color indexed="56"/>
      <name val="맑은 고딕"/>
    </font>
    <font>
      <b/>
      <sz val="11"/>
      <color indexed="56"/>
      <name val="맑은 고딕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</font>
    <font>
      <b/>
      <sz val="11"/>
      <color indexed="63"/>
      <name val="맑은 고딕"/>
    </font>
    <font>
      <sz val="11"/>
      <name val="돋움"/>
      <family val="3"/>
      <charset val="129"/>
    </font>
    <font>
      <sz val="10"/>
      <name val="Helv"/>
    </font>
    <font>
      <sz val="10"/>
      <name val="Times New Roman"/>
      <family val="1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name val="돋움"/>
      <family val="3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9"/>
      <color indexed="8"/>
      <name val="Arial"/>
      <family val="2"/>
    </font>
    <font>
      <sz val="11"/>
      <color indexed="8"/>
      <name val="Segoe UI"/>
      <family val="2"/>
    </font>
    <font>
      <sz val="11"/>
      <name val="ＭＳ Ｐゴシック"/>
      <family val="3"/>
      <charset val="128"/>
    </font>
    <font>
      <sz val="9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513">
    <xf numFmtId="0" fontId="0" fillId="0" borderId="0"/>
    <xf numFmtId="0" fontId="8" fillId="11" borderId="0" applyNumberFormat="0" applyBorder="0" applyAlignment="0" applyProtection="0">
      <alignment vertical="center"/>
    </xf>
    <xf numFmtId="0" fontId="9" fillId="12" borderId="15" applyNumberFormat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19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0"/>
    <xf numFmtId="0" fontId="18" fillId="20" borderId="0" applyNumberFormat="0" applyBorder="0" applyAlignment="0" applyProtection="0">
      <alignment vertical="center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9" fillId="0" borderId="0">
      <alignment vertical="top"/>
    </xf>
    <xf numFmtId="0" fontId="17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20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7" fillId="0" borderId="0"/>
    <xf numFmtId="0" fontId="17" fillId="0" borderId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7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7" fillId="0" borderId="0"/>
    <xf numFmtId="41" fontId="17" fillId="0" borderId="0" applyFont="0" applyFill="0" applyBorder="0" applyAlignment="0" applyProtection="0"/>
    <xf numFmtId="0" fontId="19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7" fillId="0" borderId="0"/>
    <xf numFmtId="0" fontId="19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>
      <alignment vertical="top"/>
    </xf>
    <xf numFmtId="0" fontId="17" fillId="0" borderId="0"/>
    <xf numFmtId="0" fontId="17" fillId="0" borderId="0"/>
    <xf numFmtId="0" fontId="19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7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7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2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1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164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22" borderId="0" applyNumberFormat="0" applyBorder="0" applyAlignment="0" applyProtection="0"/>
    <xf numFmtId="0" fontId="19" fillId="31" borderId="0" applyNumberFormat="0" applyBorder="0" applyAlignment="0" applyProtection="0"/>
    <xf numFmtId="0" fontId="19" fillId="34" borderId="0" applyNumberFormat="0" applyBorder="0" applyAlignment="0" applyProtection="0"/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9" fillId="0" borderId="0">
      <alignment horizontal="center" wrapText="1"/>
      <protection locked="0"/>
    </xf>
    <xf numFmtId="0" fontId="30" fillId="20" borderId="0" applyNumberFormat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66" fontId="17" fillId="0" borderId="0" applyFill="0" applyBorder="0" applyAlignment="0"/>
    <xf numFmtId="0" fontId="31" fillId="12" borderId="15" applyNumberFormat="0" applyAlignment="0" applyProtection="0"/>
    <xf numFmtId="0" fontId="32" fillId="13" borderId="19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3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3" fontId="17" fillId="0" borderId="0" applyFont="0" applyFill="0" applyBorder="0" applyAlignment="0" applyProtection="0"/>
    <xf numFmtId="3" fontId="17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6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7" fillId="0" borderId="0" applyNumberFormat="0" applyAlignment="0">
      <alignment horizontal="left"/>
    </xf>
    <xf numFmtId="0" fontId="38" fillId="0" borderId="0" applyNumberFormat="0" applyFill="0" applyBorder="0" applyAlignment="0" applyProtection="0"/>
    <xf numFmtId="2" fontId="17" fillId="0" borderId="0" applyFont="0" applyFill="0" applyBorder="0" applyAlignment="0" applyProtection="0"/>
    <xf numFmtId="2" fontId="17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38" fontId="41" fillId="45" borderId="0" applyNumberFormat="0" applyBorder="0" applyAlignment="0" applyProtection="0"/>
    <xf numFmtId="0" fontId="42" fillId="0" borderId="2" applyNumberFormat="0" applyAlignment="0" applyProtection="0">
      <alignment horizontal="left" vertical="center"/>
    </xf>
    <xf numFmtId="0" fontId="42" fillId="0" borderId="21">
      <alignment horizontal="left" vertical="center"/>
    </xf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10" fontId="41" fillId="46" borderId="22" applyNumberFormat="0" applyBorder="0" applyAlignment="0" applyProtection="0"/>
    <xf numFmtId="0" fontId="45" fillId="24" borderId="15" applyNumberFormat="0" applyAlignment="0" applyProtection="0"/>
    <xf numFmtId="169" fontId="46" fillId="47" borderId="0"/>
    <xf numFmtId="0" fontId="47" fillId="0" borderId="20" applyNumberFormat="0" applyFill="0" applyAlignment="0" applyProtection="0"/>
    <xf numFmtId="169" fontId="48" fillId="48" borderId="0"/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49" fillId="49" borderId="0" applyNumberFormat="0" applyBorder="0" applyAlignment="0" applyProtection="0"/>
    <xf numFmtId="37" fontId="50" fillId="0" borderId="0"/>
    <xf numFmtId="174" fontId="5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top"/>
    </xf>
    <xf numFmtId="0" fontId="17" fillId="0" borderId="0"/>
    <xf numFmtId="0" fontId="17" fillId="0" borderId="0"/>
    <xf numFmtId="0" fontId="33" fillId="0" borderId="0"/>
    <xf numFmtId="0" fontId="17" fillId="0" borderId="0"/>
    <xf numFmtId="0" fontId="1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/>
    <xf numFmtId="0" fontId="1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top"/>
    </xf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top"/>
    </xf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52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3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50" borderId="23" applyNumberFormat="0" applyFont="0" applyAlignment="0" applyProtection="0"/>
    <xf numFmtId="175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3" fillId="12" borderId="24" applyNumberFormat="0" applyAlignment="0" applyProtection="0"/>
    <xf numFmtId="14" fontId="29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4" fillId="0" borderId="14" applyNumberFormat="0" applyBorder="0"/>
    <xf numFmtId="168" fontId="55" fillId="0" borderId="0"/>
    <xf numFmtId="0" fontId="54" fillId="0" borderId="0" applyNumberFormat="0" applyFont="0" applyFill="0" applyBorder="0" applyAlignment="0" applyProtection="0">
      <alignment horizontal="left"/>
    </xf>
    <xf numFmtId="177" fontId="56" fillId="0" borderId="0" applyNumberFormat="0" applyFill="0" applyBorder="0" applyAlignment="0" applyProtection="0">
      <alignment horizontal="left"/>
    </xf>
    <xf numFmtId="0" fontId="19" fillId="0" borderId="0">
      <alignment vertical="top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9" fillId="0" borderId="0">
      <alignment vertical="top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0" fontId="57" fillId="0" borderId="0" applyBorder="0">
      <alignment horizontal="right"/>
    </xf>
    <xf numFmtId="0" fontId="58" fillId="0" borderId="0" applyNumberFormat="0" applyFill="0" applyBorder="0" applyAlignment="0" applyProtection="0"/>
    <xf numFmtId="0" fontId="17" fillId="0" borderId="25" applyNumberFormat="0" applyFont="0" applyFill="0" applyAlignment="0" applyProtection="0"/>
    <xf numFmtId="0" fontId="59" fillId="0" borderId="0" applyNumberFormat="0" applyFill="0" applyBorder="0" applyAlignment="0" applyProtection="0"/>
    <xf numFmtId="0" fontId="27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45" borderId="15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7" fillId="46" borderId="23" applyNumberFormat="0" applyFont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56" borderId="19" applyNumberFormat="0" applyAlignment="0" applyProtection="0">
      <alignment vertical="center"/>
    </xf>
    <xf numFmtId="17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6" fillId="0" borderId="20" applyNumberFormat="0" applyFill="0" applyAlignment="0" applyProtection="0">
      <alignment vertical="center"/>
    </xf>
    <xf numFmtId="0" fontId="67" fillId="0" borderId="26" applyNumberFormat="0" applyFill="0" applyAlignment="0" applyProtection="0">
      <alignment vertical="center"/>
    </xf>
    <xf numFmtId="0" fontId="68" fillId="30" borderId="15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1" fillId="0" borderId="17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5" fillId="45" borderId="24" applyNumberFormat="0" applyAlignment="0" applyProtection="0">
      <alignment vertical="center"/>
    </xf>
    <xf numFmtId="178" fontId="17" fillId="0" borderId="0" applyFont="0" applyFill="0" applyBorder="0" applyAlignment="0" applyProtection="0"/>
    <xf numFmtId="0" fontId="76" fillId="0" borderId="0">
      <alignment vertical="center"/>
    </xf>
    <xf numFmtId="0" fontId="77" fillId="0" borderId="0"/>
    <xf numFmtId="0" fontId="78" fillId="0" borderId="0"/>
    <xf numFmtId="176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79" fillId="11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1" fillId="0" borderId="0"/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16" applyNumberFormat="0" applyFill="0" applyAlignment="0" applyProtection="0">
      <alignment vertical="center"/>
    </xf>
    <xf numFmtId="0" fontId="84" fillId="0" borderId="17" applyNumberFormat="0" applyFill="0" applyAlignment="0" applyProtection="0">
      <alignment vertical="center"/>
    </xf>
    <xf numFmtId="0" fontId="85" fillId="0" borderId="18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9" fillId="0" borderId="0">
      <alignment vertical="top"/>
    </xf>
    <xf numFmtId="0" fontId="86" fillId="13" borderId="19" applyNumberFormat="0" applyAlignment="0" applyProtection="0">
      <alignment vertical="center"/>
    </xf>
    <xf numFmtId="0" fontId="17" fillId="0" borderId="0"/>
    <xf numFmtId="0" fontId="87" fillId="0" borderId="26" applyNumberFormat="0" applyFill="0" applyAlignment="0" applyProtection="0">
      <alignment vertical="center"/>
    </xf>
    <xf numFmtId="0" fontId="88" fillId="50" borderId="23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12" borderId="15" applyNumberFormat="0" applyAlignment="0" applyProtection="0">
      <alignment vertical="center"/>
    </xf>
    <xf numFmtId="165" fontId="7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92" fillId="24" borderId="15" applyNumberFormat="0" applyAlignment="0" applyProtection="0">
      <alignment vertical="center"/>
    </xf>
    <xf numFmtId="0" fontId="93" fillId="12" borderId="24" applyNumberFormat="0" applyAlignment="0" applyProtection="0">
      <alignment vertical="center"/>
    </xf>
    <xf numFmtId="0" fontId="94" fillId="49" borderId="0" applyNumberFormat="0" applyBorder="0" applyAlignment="0" applyProtection="0">
      <alignment vertical="center"/>
    </xf>
    <xf numFmtId="0" fontId="95" fillId="0" borderId="20" applyNumberFormat="0" applyFill="0" applyAlignment="0" applyProtection="0">
      <alignment vertical="center"/>
    </xf>
    <xf numFmtId="0" fontId="98" fillId="0" borderId="0"/>
  </cellStyleXfs>
  <cellXfs count="156">
    <xf numFmtId="0" fontId="0" fillId="0" borderId="0" xfId="0"/>
    <xf numFmtId="0" fontId="3" fillId="0" borderId="0" xfId="0" applyFont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vertical="center"/>
    </xf>
    <xf numFmtId="0" fontId="0" fillId="0" borderId="7" xfId="0" applyBorder="1"/>
    <xf numFmtId="0" fontId="6" fillId="5" borderId="28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right" vertical="center"/>
    </xf>
    <xf numFmtId="10" fontId="3" fillId="4" borderId="3" xfId="0" applyNumberFormat="1" applyFont="1" applyFill="1" applyBorder="1" applyAlignment="1">
      <alignment horizontal="left" vertical="center"/>
    </xf>
    <xf numFmtId="0" fontId="7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10" fontId="7" fillId="4" borderId="3" xfId="0" applyNumberFormat="1" applyFont="1" applyFill="1" applyBorder="1" applyAlignment="1">
      <alignment horizontal="left" vertical="center"/>
    </xf>
    <xf numFmtId="3" fontId="7" fillId="4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right" vertical="center"/>
    </xf>
    <xf numFmtId="0" fontId="96" fillId="0" borderId="0" xfId="4342" applyFont="1" applyAlignment="1">
      <alignment vertical="center"/>
    </xf>
    <xf numFmtId="0" fontId="99" fillId="57" borderId="22" xfId="4512" applyFont="1" applyFill="1" applyBorder="1" applyAlignment="1" applyProtection="1">
      <alignment horizontal="center" textRotation="90" wrapText="1"/>
      <protection hidden="1"/>
    </xf>
    <xf numFmtId="10" fontId="99" fillId="2" borderId="34" xfId="4512" applyNumberFormat="1" applyFont="1" applyFill="1" applyBorder="1" applyAlignment="1" applyProtection="1">
      <alignment horizontal="center" vertical="center"/>
      <protection locked="0"/>
    </xf>
    <xf numFmtId="0" fontId="96" fillId="0" borderId="0" xfId="4342" applyFont="1" applyAlignment="1">
      <alignment horizontal="center" vertical="center"/>
    </xf>
    <xf numFmtId="181" fontId="0" fillId="2" borderId="22" xfId="0" applyNumberFormat="1" applyFill="1" applyBorder="1"/>
    <xf numFmtId="0" fontId="0" fillId="2" borderId="0" xfId="0" applyFill="1"/>
    <xf numFmtId="0" fontId="0" fillId="0" borderId="22" xfId="0" applyBorder="1"/>
    <xf numFmtId="0" fontId="0" fillId="5" borderId="22" xfId="0" applyFill="1" applyBorder="1"/>
    <xf numFmtId="10" fontId="0" fillId="0" borderId="22" xfId="0" applyNumberFormat="1" applyBorder="1"/>
    <xf numFmtId="181" fontId="0" fillId="0" borderId="22" xfId="0" applyNumberFormat="1" applyBorder="1"/>
    <xf numFmtId="10" fontId="0" fillId="0" borderId="0" xfId="0" applyNumberFormat="1"/>
    <xf numFmtId="10" fontId="99" fillId="0" borderId="34" xfId="4512" applyNumberFormat="1" applyFont="1" applyBorder="1" applyAlignment="1" applyProtection="1">
      <alignment horizontal="center" textRotation="90" wrapText="1"/>
      <protection hidden="1"/>
    </xf>
    <xf numFmtId="10" fontId="99" fillId="0" borderId="6" xfId="4512" applyNumberFormat="1" applyFont="1" applyBorder="1" applyAlignment="1" applyProtection="1">
      <alignment horizontal="center" textRotation="90" wrapText="1"/>
      <protection hidden="1"/>
    </xf>
    <xf numFmtId="0" fontId="97" fillId="4" borderId="36" xfId="4249" applyFont="1" applyFill="1" applyBorder="1" applyAlignment="1">
      <alignment horizontal="center" vertical="center"/>
    </xf>
    <xf numFmtId="3" fontId="0" fillId="2" borderId="21" xfId="0" applyNumberFormat="1" applyFill="1" applyBorder="1" applyAlignment="1">
      <alignment horizontal="center"/>
    </xf>
    <xf numFmtId="10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left" vertical="center"/>
    </xf>
    <xf numFmtId="3" fontId="0" fillId="2" borderId="22" xfId="0" applyNumberFormat="1" applyFill="1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10" fontId="0" fillId="0" borderId="12" xfId="0" applyNumberFormat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0" fontId="0" fillId="6" borderId="6" xfId="0" applyNumberForma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0" fontId="0" fillId="7" borderId="6" xfId="0" applyNumberForma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10" fontId="0" fillId="8" borderId="6" xfId="0" applyNumberForma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10" fontId="0" fillId="9" borderId="6" xfId="0" applyNumberForma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10" fontId="0" fillId="10" borderId="11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10" fontId="0" fillId="6" borderId="38" xfId="0" applyNumberFormat="1" applyFill="1" applyBorder="1" applyAlignment="1">
      <alignment horizontal="center" vertical="center"/>
    </xf>
    <xf numFmtId="10" fontId="0" fillId="7" borderId="38" xfId="0" applyNumberFormat="1" applyFill="1" applyBorder="1" applyAlignment="1">
      <alignment horizontal="center" vertical="center"/>
    </xf>
    <xf numFmtId="10" fontId="0" fillId="8" borderId="38" xfId="0" applyNumberFormat="1" applyFill="1" applyBorder="1" applyAlignment="1">
      <alignment horizontal="center" vertical="center"/>
    </xf>
    <xf numFmtId="10" fontId="0" fillId="9" borderId="38" xfId="0" applyNumberFormat="1" applyFill="1" applyBorder="1" applyAlignment="1">
      <alignment horizontal="center" vertical="center"/>
    </xf>
    <xf numFmtId="10" fontId="0" fillId="10" borderId="39" xfId="0" applyNumberFormat="1" applyFill="1" applyBorder="1" applyAlignment="1">
      <alignment horizontal="center" vertical="center"/>
    </xf>
    <xf numFmtId="0" fontId="0" fillId="0" borderId="40" xfId="0" applyBorder="1"/>
    <xf numFmtId="0" fontId="0" fillId="0" borderId="14" xfId="0" applyBorder="1"/>
    <xf numFmtId="0" fontId="0" fillId="0" borderId="41" xfId="0" applyBorder="1"/>
    <xf numFmtId="0" fontId="0" fillId="0" borderId="42" xfId="0" applyBorder="1"/>
    <xf numFmtId="0" fontId="0" fillId="0" borderId="37" xfId="0" applyBorder="1"/>
    <xf numFmtId="0" fontId="7" fillId="4" borderId="1" xfId="0" applyFont="1" applyFill="1" applyBorder="1" applyAlignment="1">
      <alignment horizontal="left" vertical="center"/>
    </xf>
    <xf numFmtId="0" fontId="6" fillId="0" borderId="37" xfId="0" applyFont="1" applyBorder="1" applyAlignment="1">
      <alignment horizontal="left" vertical="center" textRotation="90"/>
    </xf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3" fontId="0" fillId="58" borderId="22" xfId="0" applyNumberFormat="1" applyFill="1" applyBorder="1"/>
    <xf numFmtId="10" fontId="0" fillId="58" borderId="22" xfId="0" applyNumberFormat="1" applyFill="1" applyBorder="1"/>
    <xf numFmtId="0" fontId="99" fillId="57" borderId="28" xfId="4512" applyFont="1" applyFill="1" applyBorder="1" applyAlignment="1" applyProtection="1">
      <alignment horizontal="center" textRotation="90" wrapText="1"/>
      <protection hidden="1"/>
    </xf>
    <xf numFmtId="0" fontId="99" fillId="57" borderId="11" xfId="4512" applyFont="1" applyFill="1" applyBorder="1" applyAlignment="1" applyProtection="1">
      <alignment horizontal="center" textRotation="90" wrapText="1"/>
      <protection hidden="1"/>
    </xf>
    <xf numFmtId="0" fontId="99" fillId="57" borderId="43" xfId="4512" applyFont="1" applyFill="1" applyBorder="1" applyAlignment="1" applyProtection="1">
      <alignment horizontal="center" textRotation="90" wrapText="1"/>
      <protection hidden="1"/>
    </xf>
    <xf numFmtId="0" fontId="99" fillId="57" borderId="44" xfId="4512" applyFont="1" applyFill="1" applyBorder="1" applyAlignment="1" applyProtection="1">
      <alignment horizontal="center" textRotation="90" wrapText="1"/>
      <protection hidden="1"/>
    </xf>
    <xf numFmtId="0" fontId="99" fillId="57" borderId="45" xfId="4512" applyFont="1" applyFill="1" applyBorder="1" applyAlignment="1" applyProtection="1">
      <alignment horizontal="center" textRotation="90" wrapText="1"/>
      <protection hidden="1"/>
    </xf>
    <xf numFmtId="0" fontId="99" fillId="57" borderId="46" xfId="4512" applyFont="1" applyFill="1" applyBorder="1" applyAlignment="1" applyProtection="1">
      <alignment horizontal="center" textRotation="90" wrapText="1"/>
      <protection hidden="1"/>
    </xf>
    <xf numFmtId="0" fontId="99" fillId="57" borderId="47" xfId="4512" applyFont="1" applyFill="1" applyBorder="1" applyAlignment="1" applyProtection="1">
      <alignment horizontal="center" textRotation="90" wrapText="1"/>
      <protection hidden="1"/>
    </xf>
    <xf numFmtId="0" fontId="99" fillId="57" borderId="48" xfId="4512" applyFont="1" applyFill="1" applyBorder="1" applyAlignment="1" applyProtection="1">
      <alignment horizontal="center" textRotation="90" wrapText="1"/>
      <protection hidden="1"/>
    </xf>
    <xf numFmtId="0" fontId="99" fillId="57" borderId="49" xfId="4512" applyFont="1" applyFill="1" applyBorder="1" applyAlignment="1" applyProtection="1">
      <alignment horizontal="center" textRotation="90" wrapText="1"/>
      <protection hidden="1"/>
    </xf>
    <xf numFmtId="0" fontId="99" fillId="57" borderId="50" xfId="4512" applyFont="1" applyFill="1" applyBorder="1" applyAlignment="1" applyProtection="1">
      <alignment horizontal="center" textRotation="90" wrapText="1"/>
      <protection hidden="1"/>
    </xf>
    <xf numFmtId="0" fontId="96" fillId="57" borderId="49" xfId="0" applyFont="1" applyFill="1" applyBorder="1" applyAlignment="1">
      <alignment textRotation="90" wrapText="1"/>
    </xf>
    <xf numFmtId="0" fontId="96" fillId="57" borderId="50" xfId="0" applyFont="1" applyFill="1" applyBorder="1" applyAlignment="1">
      <alignment textRotation="90" wrapText="1"/>
    </xf>
    <xf numFmtId="0" fontId="96" fillId="57" borderId="48" xfId="0" applyFont="1" applyFill="1" applyBorder="1" applyAlignment="1">
      <alignment textRotation="90" wrapText="1"/>
    </xf>
    <xf numFmtId="0" fontId="0" fillId="2" borderId="22" xfId="0" applyFill="1" applyBorder="1"/>
    <xf numFmtId="0" fontId="96" fillId="57" borderId="22" xfId="4342" applyFont="1" applyFill="1" applyBorder="1" applyAlignment="1">
      <alignment horizontal="center" textRotation="90" wrapText="1"/>
    </xf>
    <xf numFmtId="0" fontId="6" fillId="0" borderId="0" xfId="0" applyFont="1" applyAlignment="1">
      <alignment horizontal="left" vertical="center" textRotation="90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6" fillId="5" borderId="44" xfId="0" applyFont="1" applyFill="1" applyBorder="1" applyAlignment="1">
      <alignment horizontal="center" vertical="center"/>
    </xf>
    <xf numFmtId="0" fontId="6" fillId="5" borderId="45" xfId="0" applyFont="1" applyFill="1" applyBorder="1" applyAlignment="1">
      <alignment horizontal="center" vertical="center"/>
    </xf>
    <xf numFmtId="0" fontId="6" fillId="5" borderId="52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0" borderId="52" xfId="0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3" fillId="60" borderId="12" xfId="0" applyFont="1" applyFill="1" applyBorder="1" applyAlignment="1">
      <alignment horizontal="center" vertical="center"/>
    </xf>
    <xf numFmtId="1" fontId="3" fillId="60" borderId="12" xfId="0" applyNumberFormat="1" applyFont="1" applyFill="1" applyBorder="1" applyAlignment="1">
      <alignment horizontal="left" vertical="center"/>
    </xf>
    <xf numFmtId="1" fontId="3" fillId="60" borderId="13" xfId="0" applyNumberFormat="1" applyFont="1" applyFill="1" applyBorder="1" applyAlignment="1">
      <alignment horizontal="left" vertical="center"/>
    </xf>
    <xf numFmtId="0" fontId="6" fillId="5" borderId="51" xfId="0" applyFont="1" applyFill="1" applyBorder="1" applyAlignment="1">
      <alignment horizontal="center" vertical="center" textRotation="90"/>
    </xf>
    <xf numFmtId="0" fontId="6" fillId="5" borderId="4" xfId="0" applyFont="1" applyFill="1" applyBorder="1" applyAlignment="1">
      <alignment horizontal="center" vertical="center" textRotation="90"/>
    </xf>
    <xf numFmtId="0" fontId="6" fillId="5" borderId="9" xfId="0" applyFont="1" applyFill="1" applyBorder="1" applyAlignment="1">
      <alignment horizontal="center" vertical="center" textRotation="90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 textRotation="90"/>
    </xf>
    <xf numFmtId="0" fontId="3" fillId="60" borderId="37" xfId="0" applyFont="1" applyFill="1" applyBorder="1" applyAlignment="1">
      <alignment horizontal="center" vertical="center"/>
    </xf>
    <xf numFmtId="0" fontId="3" fillId="60" borderId="1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quotePrefix="1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left" vertical="center"/>
    </xf>
    <xf numFmtId="0" fontId="7" fillId="59" borderId="30" xfId="0" applyFont="1" applyFill="1" applyBorder="1" applyAlignment="1">
      <alignment horizontal="left" vertical="center"/>
    </xf>
    <xf numFmtId="0" fontId="7" fillId="59" borderId="31" xfId="0" applyFont="1" applyFill="1" applyBorder="1" applyAlignment="1">
      <alignment horizontal="left" vertical="center"/>
    </xf>
    <xf numFmtId="0" fontId="7" fillId="59" borderId="54" xfId="0" applyFont="1" applyFill="1" applyBorder="1" applyAlignment="1">
      <alignment horizontal="left" vertical="center"/>
    </xf>
    <xf numFmtId="0" fontId="7" fillId="59" borderId="55" xfId="0" applyFont="1" applyFill="1" applyBorder="1" applyAlignment="1">
      <alignment horizontal="left" vertical="center"/>
    </xf>
    <xf numFmtId="0" fontId="0" fillId="59" borderId="31" xfId="0" applyFill="1" applyBorder="1" applyAlignment="1">
      <alignment horizontal="center" vertical="center" wrapText="1"/>
    </xf>
    <xf numFmtId="0" fontId="0" fillId="59" borderId="32" xfId="0" applyFill="1" applyBorder="1" applyAlignment="1">
      <alignment horizontal="center" vertical="center" wrapText="1"/>
    </xf>
    <xf numFmtId="0" fontId="0" fillId="59" borderId="55" xfId="0" applyFill="1" applyBorder="1" applyAlignment="1">
      <alignment horizontal="left" vertical="center"/>
    </xf>
    <xf numFmtId="0" fontId="0" fillId="59" borderId="56" xfId="0" applyFill="1" applyBorder="1" applyAlignment="1">
      <alignment horizontal="left" vertical="center"/>
    </xf>
    <xf numFmtId="10" fontId="99" fillId="0" borderId="34" xfId="4512" applyNumberFormat="1" applyFont="1" applyBorder="1" applyAlignment="1" applyProtection="1">
      <alignment horizontal="center" textRotation="90" wrapText="1"/>
      <protection hidden="1"/>
    </xf>
    <xf numFmtId="10" fontId="99" fillId="0" borderId="6" xfId="4512" applyNumberFormat="1" applyFont="1" applyBorder="1" applyAlignment="1" applyProtection="1">
      <alignment horizontal="center" textRotation="90" wrapText="1"/>
      <protection hidden="1"/>
    </xf>
    <xf numFmtId="0" fontId="0" fillId="2" borderId="3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97" fillId="4" borderId="30" xfId="4249" applyFont="1" applyFill="1" applyBorder="1" applyAlignment="1">
      <alignment horizontal="center" vertical="center"/>
    </xf>
    <xf numFmtId="0" fontId="97" fillId="4" borderId="31" xfId="4249" applyFont="1" applyFill="1" applyBorder="1" applyAlignment="1">
      <alignment horizontal="center" vertical="center"/>
    </xf>
    <xf numFmtId="0" fontId="97" fillId="4" borderId="32" xfId="4249" applyFont="1" applyFill="1" applyBorder="1" applyAlignment="1">
      <alignment horizontal="center" vertical="center"/>
    </xf>
    <xf numFmtId="0" fontId="96" fillId="0" borderId="29" xfId="4342" applyFont="1" applyBorder="1" applyAlignment="1">
      <alignment horizontal="center"/>
    </xf>
    <xf numFmtId="0" fontId="96" fillId="0" borderId="5" xfId="4342" applyFont="1" applyBorder="1" applyAlignment="1">
      <alignment horizontal="center"/>
    </xf>
    <xf numFmtId="0" fontId="97" fillId="4" borderId="33" xfId="4249" applyFont="1" applyFill="1" applyBorder="1" applyAlignment="1">
      <alignment horizontal="center" vertical="center"/>
    </xf>
    <xf numFmtId="0" fontId="97" fillId="4" borderId="1" xfId="4249" applyFont="1" applyFill="1" applyBorder="1" applyAlignment="1">
      <alignment horizontal="center" vertical="center"/>
    </xf>
    <xf numFmtId="0" fontId="97" fillId="4" borderId="2" xfId="4249" applyFont="1" applyFill="1" applyBorder="1" applyAlignment="1">
      <alignment horizontal="center" vertical="center"/>
    </xf>
    <xf numFmtId="0" fontId="97" fillId="4" borderId="3" xfId="4249" applyFont="1" applyFill="1" applyBorder="1" applyAlignment="1">
      <alignment horizontal="center" vertical="center"/>
    </xf>
  </cellXfs>
  <cellStyles count="4513">
    <cellStyle name="?" xfId="1" xr:uid="{00000000-0005-0000-0000-000000000000}"/>
    <cellStyle name="??" xfId="2" xr:uid="{00000000-0005-0000-0000-000001000000}"/>
    <cellStyle name="?? 1" xfId="3" xr:uid="{00000000-0005-0000-0000-000002000000}"/>
    <cellStyle name="?? 2" xfId="4" xr:uid="{00000000-0005-0000-0000-000003000000}"/>
    <cellStyle name="?? 3" xfId="5" xr:uid="{00000000-0005-0000-0000-000004000000}"/>
    <cellStyle name="?? 4" xfId="6" xr:uid="{00000000-0005-0000-0000-000005000000}"/>
    <cellStyle name="????" xfId="7" xr:uid="{00000000-0005-0000-0000-000006000000}"/>
    <cellStyle name="?????" xfId="8" xr:uid="{00000000-0005-0000-0000-000007000000}"/>
    <cellStyle name="?????? 1" xfId="9" xr:uid="{00000000-0005-0000-0000-000008000000}"/>
    <cellStyle name="?????? 2" xfId="10" xr:uid="{00000000-0005-0000-0000-000009000000}"/>
    <cellStyle name="?????? 3" xfId="11" xr:uid="{00000000-0005-0000-0000-00000A000000}"/>
    <cellStyle name="?????? 4" xfId="12" xr:uid="{00000000-0005-0000-0000-00000B000000}"/>
    <cellStyle name="?????? 5" xfId="13" xr:uid="{00000000-0005-0000-0000-00000C000000}"/>
    <cellStyle name="?????? 6" xfId="14" xr:uid="{00000000-0005-0000-0000-00000D000000}"/>
    <cellStyle name="?????_YNL-Styles change over data (05.19.2010)" xfId="15" xr:uid="{00000000-0005-0000-0000-00000E000000}"/>
    <cellStyle name="??_Ech A3H YGN Export 0310023" xfId="16" xr:uid="{00000000-0005-0000-0000-00000F000000}"/>
    <cellStyle name="?_YNL-Styles change over data (05.19.2010)" xfId="17" xr:uid="{00000000-0005-0000-0000-000010000000}"/>
    <cellStyle name="_12382" xfId="18" xr:uid="{00000000-0005-0000-0000-000011000000}"/>
    <cellStyle name="_12382_Style Change Over YC-7H  16~21 Aprl, 2013" xfId="19" xr:uid="{00000000-0005-0000-0000-000012000000}"/>
    <cellStyle name="_12382_Style Change Over YC-7H  16~21 Aprl, 2013_Base line Data-YC-15(G)" xfId="20" xr:uid="{00000000-0005-0000-0000-000013000000}"/>
    <cellStyle name="_12382_Style Change Over YC-7H  16~21 Aprl, 2013_Book1" xfId="21" xr:uid="{00000000-0005-0000-0000-000014000000}"/>
    <cellStyle name="_12382_Style Change Over YC-7H  16~21 Aprl, 2013_Style Changeover Data Information-" xfId="22" xr:uid="{00000000-0005-0000-0000-000015000000}"/>
    <cellStyle name="_12382_Style Change Over YC-7H  16~21 Aprl, 2013_Style Changeover Data Information-YCL13C" xfId="23" xr:uid="{00000000-0005-0000-0000-000016000000}"/>
    <cellStyle name="_12382_Style Change Over YC-9 (I)  28~02 May, 2013" xfId="24" xr:uid="{00000000-0005-0000-0000-000017000000}"/>
    <cellStyle name="_12382_Style Change Over YC-9 (I)  28~02 May, 2013_Base line Data-YC-15(G)" xfId="25" xr:uid="{00000000-0005-0000-0000-000018000000}"/>
    <cellStyle name="_12382_Style Change Over YC-9 (I)  28~02 May, 2013_Book1" xfId="26" xr:uid="{00000000-0005-0000-0000-000019000000}"/>
    <cellStyle name="_12382_Style Change Over YC-9 (I)  28~02 May, 2013_Style Changeover Data Information-" xfId="27" xr:uid="{00000000-0005-0000-0000-00001A000000}"/>
    <cellStyle name="_12382_Style Change Over YC-9 (I)  28~02 May, 2013_Style Changeover Data Information-YCL13C" xfId="28" xr:uid="{00000000-0005-0000-0000-00001B000000}"/>
    <cellStyle name="_1st week" xfId="29" xr:uid="{00000000-0005-0000-0000-00001C000000}"/>
    <cellStyle name="_1STf" xfId="30" xr:uid="{00000000-0005-0000-0000-00001D000000}"/>
    <cellStyle name="_2nd" xfId="31" xr:uid="{00000000-0005-0000-0000-00001E000000}"/>
    <cellStyle name="_2P &amp; Changeover" xfId="32" xr:uid="{00000000-0005-0000-0000-00001F000000}"/>
    <cellStyle name="_2P &amp; Changeover_3.Style Change Over YCL- 8-(E+M) 17-24 July'2011" xfId="33" xr:uid="{00000000-0005-0000-0000-000020000000}"/>
    <cellStyle name="_2P &amp; Changeover_4.Style Change Over YCL- 8-(E+M) 13~17 Aug, 2011" xfId="34" xr:uid="{00000000-0005-0000-0000-000021000000}"/>
    <cellStyle name="_2P &amp; Changeover_4.Style Change Over YCL- 8-(E+M) 13~17 Aug, 2011_After 5's" xfId="35" xr:uid="{00000000-0005-0000-0000-000022000000}"/>
    <cellStyle name="_2P &amp; Changeover_4.Style Change Over YCL- 8-(E+M) 13~17 Aug, 2011_Base Line Data YC-8(C)" xfId="36" xr:uid="{00000000-0005-0000-0000-000023000000}"/>
    <cellStyle name="_2P &amp; Changeover_4.Style Change Over YCL- 8-(E+M) 13~17 Aug, 2011_Base line Data-YC-15(G)" xfId="37" xr:uid="{00000000-0005-0000-0000-000024000000}"/>
    <cellStyle name="_2P &amp; Changeover_4.Style Change Over YCL- 8-(E+M) 13~17 Aug, 2011_Book1" xfId="38" xr:uid="{00000000-0005-0000-0000-000025000000}"/>
    <cellStyle name="_2P &amp; Changeover_4.Style Change Over YCL- 8-(E+M) 13~17 Aug, 2011_Copy of SK Raw data of SKB in Yc-6-(C) 26~31Jan '20131" xfId="39" xr:uid="{00000000-0005-0000-0000-000026000000}"/>
    <cellStyle name="_2P &amp; Changeover_4.Style Change Over YCL- 8-(E+M) 13~17 Aug, 2011_Flow Chart YC-8(C) Before1" xfId="40" xr:uid="{00000000-0005-0000-0000-000027000000}"/>
    <cellStyle name="_2P &amp; Changeover_4.Style Change Over YCL- 8-(E+M) 13~17 Aug, 2011_MFC(Yc 10C)" xfId="41" xr:uid="{00000000-0005-0000-0000-000028000000}"/>
    <cellStyle name="_2P &amp; Changeover_4.Style Change Over YCL- 8-(E+M) 13~17 Aug, 2011_OCT Graph A1" xfId="42" xr:uid="{00000000-0005-0000-0000-000029000000}"/>
    <cellStyle name="_2P &amp; Changeover_4.Style Change Over YCL- 8-(E+M) 13~17 Aug, 2011_peroto Chart YC-8" xfId="43" xr:uid="{00000000-0005-0000-0000-00002A000000}"/>
    <cellStyle name="_2P &amp; Changeover_4.Style Change Over YCL- 8-(E+M) 13~17 Aug, 2011_SK Raw data of SKB in Yc-8-(J) 01~05 Dec'2012" xfId="44" xr:uid="{00000000-0005-0000-0000-00002B000000}"/>
    <cellStyle name="_2P &amp; Changeover_4.Style Change Over YCL- 8-(E+M) 13~17 Aug, 2011_SK Raw data of SKB in Yc-8-(J) 01~05 Dec'2012_Base line Data-YC-15(G)" xfId="45" xr:uid="{00000000-0005-0000-0000-00002C000000}"/>
    <cellStyle name="_2P &amp; Changeover_4.Style Change Over YCL- 8-(E+M) 13~17 Aug, 2011_SK Raw data of SKB in Yc-8-(J) 01~05 Dec'2012_Book1" xfId="46" xr:uid="{00000000-0005-0000-0000-00002D000000}"/>
    <cellStyle name="_2P &amp; Changeover_4.Style Change Over YCL- 8-(E+M) 13~17 Aug, 2011_SK Raw data of SKB in Yc-8-(J) 01~05 Dec'2012_Style Changeover Data Information-" xfId="47" xr:uid="{00000000-0005-0000-0000-00002E000000}"/>
    <cellStyle name="_2P &amp; Changeover_4.Style Change Over YCL- 8-(E+M) 13~17 Aug, 2011_SK Raw data of SKB in Yc-8-(J) 01~05 Dec'2012_Style Changeover Data Information-YCL13C" xfId="48" xr:uid="{00000000-0005-0000-0000-00002F000000}"/>
    <cellStyle name="_2P &amp; Changeover_4.Style Change Over YCL- 8-(E+M) 13~17 Aug, 2011_SKB RAW DATA" xfId="49" xr:uid="{00000000-0005-0000-0000-000030000000}"/>
    <cellStyle name="_2P &amp; Changeover_4.Style Change Over YCL- 8-(E+M) 13~17 Aug, 2011_SKB YC-8(J)" xfId="50" xr:uid="{00000000-0005-0000-0000-000031000000}"/>
    <cellStyle name="_2P &amp; Changeover_4.Style Change Over YCL- 8-(E+M) 13~17 Aug, 2011_SKB(Sewing Kaizen - YCL 14 (A)" xfId="51" xr:uid="{00000000-0005-0000-0000-000032000000}"/>
    <cellStyle name="_2P &amp; Changeover_4.Style Change Over YCL- 8-(E+M) 13~17 Aug, 2011_SQDC Board format (revised)-2013" xfId="52" xr:uid="{00000000-0005-0000-0000-000033000000}"/>
    <cellStyle name="_2P &amp; Changeover_4.Style Change Over YCL- 8-(E+M) 13~17 Aug, 2011_Style Change Over YC-6 E 23~227 Mar, 2013" xfId="53" xr:uid="{00000000-0005-0000-0000-000034000000}"/>
    <cellStyle name="_2P &amp; Changeover_4.Style Change Over YCL- 8-(E+M) 13~17 Aug, 2011_Style Change Over YC-7H  16~21 Aprl, 2013" xfId="54" xr:uid="{00000000-0005-0000-0000-000035000000}"/>
    <cellStyle name="_2P &amp; Changeover_4.Style Change Over YCL- 8-(E+M) 13~17 Aug, 2011_Style Changeover Data Information-" xfId="55" xr:uid="{00000000-0005-0000-0000-000036000000}"/>
    <cellStyle name="_2P &amp; Changeover_4.Style Change Over YCL- 8-(E+M) 13~17 Aug, 2011_Xl0000034" xfId="56" xr:uid="{00000000-0005-0000-0000-000037000000}"/>
    <cellStyle name="_2P &amp; Changeover_After 5's" xfId="57" xr:uid="{00000000-0005-0000-0000-000038000000}"/>
    <cellStyle name="_2P &amp; Changeover_Base Line Data YC-8(C)" xfId="58" xr:uid="{00000000-0005-0000-0000-000039000000}"/>
    <cellStyle name="_2P &amp; Changeover_Base line Data-YC-15(G)" xfId="59" xr:uid="{00000000-0005-0000-0000-00003A000000}"/>
    <cellStyle name="_2P &amp; Changeover_Before 5's YC-8(C)" xfId="60" xr:uid="{00000000-0005-0000-0000-00003B000000}"/>
    <cellStyle name="_2P &amp; Changeover_Book1" xfId="61" xr:uid="{00000000-0005-0000-0000-00003C000000}"/>
    <cellStyle name="_2P &amp; Changeover_Copy of SK Raw data of SKB in Yc-6-(C) 26~31Jan '20131" xfId="62" xr:uid="{00000000-0005-0000-0000-00003D000000}"/>
    <cellStyle name="_2P &amp; Changeover_Flow Chart BM Groucho Jkt-YCL-8E" xfId="63" xr:uid="{00000000-0005-0000-0000-00003E000000}"/>
    <cellStyle name="_2P &amp; Changeover_Flow Chart YC-8(C) Before1" xfId="64" xr:uid="{00000000-0005-0000-0000-00003F000000}"/>
    <cellStyle name="_2P &amp; Changeover_Flow Chart YCL - 8-(E+M)1" xfId="65" xr:uid="{00000000-0005-0000-0000-000040000000}"/>
    <cellStyle name="_2P &amp; Changeover_Flow-Ycl-8-E+Mod" xfId="66" xr:uid="{00000000-0005-0000-0000-000041000000}"/>
    <cellStyle name="_2P &amp; Changeover_Graph-6B3" xfId="67" xr:uid="{00000000-0005-0000-0000-000042000000}"/>
    <cellStyle name="_2P &amp; Changeover_Graph-6B4" xfId="68" xr:uid="{00000000-0005-0000-0000-000043000000}"/>
    <cellStyle name="_2P &amp; Changeover_Graph-6B5" xfId="69" xr:uid="{00000000-0005-0000-0000-000044000000}"/>
    <cellStyle name="_2P &amp; Changeover_Graph-8I" xfId="70" xr:uid="{00000000-0005-0000-0000-000045000000}"/>
    <cellStyle name="_2P &amp; Changeover_Ksl-05H Line Style Changeover Dt#20~26 Nov'  2012" xfId="71" xr:uid="{00000000-0005-0000-0000-000046000000}"/>
    <cellStyle name="_2P &amp; Changeover_Ksl-05H Line Style Changeover Dt#20~26 Nov'  2012_Participant List &amp; data for SKB  Sector-7 Ksl_4 Mini-3 Duration_06~10July 2013" xfId="72" xr:uid="{00000000-0005-0000-0000-000047000000}"/>
    <cellStyle name="_2P &amp; Changeover_Ksl-05H Line Style Changeover Dt#20~26 Nov'  2012_Participant List &amp; data for SKB  Sector-7 Ksl_6-F Duration_ 22~27 'June,2013" xfId="73" xr:uid="{00000000-0005-0000-0000-000048000000}"/>
    <cellStyle name="_2P &amp; Changeover_Ksl-6 Mini 1style Changeover Dt# 15th ~21th April' 20131" xfId="74" xr:uid="{00000000-0005-0000-0000-000049000000}"/>
    <cellStyle name="_2P &amp; Changeover_Ksl-6 Mini 1style Changeover Dt# 15th ~21th April' 20131_Participant List &amp; data for SKB  Sector-7 Ksl_4 Mini-3 Duration_06~10July 2013" xfId="75" xr:uid="{00000000-0005-0000-0000-00004A000000}"/>
    <cellStyle name="_2P &amp; Changeover_MFC BEFORE" xfId="76" xr:uid="{00000000-0005-0000-0000-00004B000000}"/>
    <cellStyle name="_2P &amp; Changeover_MFC(Yc 10C)" xfId="77" xr:uid="{00000000-0005-0000-0000-00004C000000}"/>
    <cellStyle name="_2P &amp; Changeover_OCT Graph A1" xfId="78" xr:uid="{00000000-0005-0000-0000-00004D000000}"/>
    <cellStyle name="_2P &amp; Changeover_OCT-J" xfId="79" xr:uid="{00000000-0005-0000-0000-00004E000000}"/>
    <cellStyle name="_2P &amp; Changeover_OCT-J_After 5's" xfId="80" xr:uid="{00000000-0005-0000-0000-00004F000000}"/>
    <cellStyle name="_2P &amp; Changeover_OCT-J_Base Line Data YC-8(C)" xfId="81" xr:uid="{00000000-0005-0000-0000-000050000000}"/>
    <cellStyle name="_2P &amp; Changeover_OCT-J_Base line Data-YC-15(G)" xfId="82" xr:uid="{00000000-0005-0000-0000-000051000000}"/>
    <cellStyle name="_2P &amp; Changeover_OCT-J_Book1" xfId="83" xr:uid="{00000000-0005-0000-0000-000052000000}"/>
    <cellStyle name="_2P &amp; Changeover_OCT-J_Copy of SK Raw data of SKB in Yc-6-(C) 26~31Jan '20131" xfId="84" xr:uid="{00000000-0005-0000-0000-000053000000}"/>
    <cellStyle name="_2P &amp; Changeover_OCT-J_Critical poin" xfId="85" xr:uid="{00000000-0005-0000-0000-000054000000}"/>
    <cellStyle name="_2P &amp; Changeover_OCT-J_Critical poin1" xfId="86" xr:uid="{00000000-0005-0000-0000-000055000000}"/>
    <cellStyle name="_2P &amp; Changeover_OCT-J_Flow Chart YC-8(C) Before1" xfId="87" xr:uid="{00000000-0005-0000-0000-000056000000}"/>
    <cellStyle name="_2P &amp; Changeover_OCT-J_OCT Graph A1" xfId="88" xr:uid="{00000000-0005-0000-0000-000057000000}"/>
    <cellStyle name="_2P &amp; Changeover_OCT-J_peroto Chart YC-8" xfId="89" xr:uid="{00000000-0005-0000-0000-000058000000}"/>
    <cellStyle name="_2P &amp; Changeover_OCT-J_SK Raw data of SKB in Yc-8-(J) 01~05 Dec'2012" xfId="90" xr:uid="{00000000-0005-0000-0000-000059000000}"/>
    <cellStyle name="_2P &amp; Changeover_OCT-J_SK Raw data of SKB in Yc-8-(J) 01~05 Dec'2012_Base line Data-YC-15(G)" xfId="91" xr:uid="{00000000-0005-0000-0000-00005A000000}"/>
    <cellStyle name="_2P &amp; Changeover_OCT-J_SK Raw data of SKB in Yc-8-(J) 01~05 Dec'2012_Book1" xfId="92" xr:uid="{00000000-0005-0000-0000-00005B000000}"/>
    <cellStyle name="_2P &amp; Changeover_OCT-J_SK Raw data of SKB in Yc-8-(J) 01~05 Dec'2012_Style Changeover Data Information-" xfId="93" xr:uid="{00000000-0005-0000-0000-00005C000000}"/>
    <cellStyle name="_2P &amp; Changeover_OCT-J_SK Raw data of SKB in Yc-8-(J) 01~05 Dec'2012_Style Changeover Data Information-YCL13C" xfId="94" xr:uid="{00000000-0005-0000-0000-00005D000000}"/>
    <cellStyle name="_2P &amp; Changeover_OCT-J_SKB RAW DATA" xfId="95" xr:uid="{00000000-0005-0000-0000-00005E000000}"/>
    <cellStyle name="_2P &amp; Changeover_OCT-J_SKB YC-8(J)" xfId="96" xr:uid="{00000000-0005-0000-0000-00005F000000}"/>
    <cellStyle name="_2P &amp; Changeover_OCT-J_SKB(Sewing Kaizen - YCL 14 (A)" xfId="97" xr:uid="{00000000-0005-0000-0000-000060000000}"/>
    <cellStyle name="_2P &amp; Changeover_OCT-J_SQDC Board format (revised)-2013" xfId="98" xr:uid="{00000000-0005-0000-0000-000061000000}"/>
    <cellStyle name="_2P &amp; Changeover_OCT-J_Style Change Over YC-7H  16~21 Aprl, 2013" xfId="99" xr:uid="{00000000-0005-0000-0000-000062000000}"/>
    <cellStyle name="_2P &amp; Changeover_OCT-J_Style Change Over YC-7H  16~21 Aprl, 2013_Base line Data-YC-15(G)" xfId="100" xr:uid="{00000000-0005-0000-0000-000063000000}"/>
    <cellStyle name="_2P &amp; Changeover_OCT-J_Style Change Over YC-7H  16~21 Aprl, 2013_Book1" xfId="101" xr:uid="{00000000-0005-0000-0000-000064000000}"/>
    <cellStyle name="_2P &amp; Changeover_OCT-J_Style Change Over YC-7H  16~21 Aprl, 2013_Style Changeover Data Information-" xfId="102" xr:uid="{00000000-0005-0000-0000-000065000000}"/>
    <cellStyle name="_2P &amp; Changeover_OCT-J_Style Change Over YC-7H  16~21 Aprl, 2013_Style Changeover Data Information-YCL13C" xfId="103" xr:uid="{00000000-0005-0000-0000-000066000000}"/>
    <cellStyle name="_2P &amp; Changeover_OCT-J_Style Change Over YC-9 (I)  28~02 May, 2013" xfId="104" xr:uid="{00000000-0005-0000-0000-000067000000}"/>
    <cellStyle name="_2P &amp; Changeover_OCT-J_Style Change Over YC-9 (I)  28~02 May, 2013_Base line Data-YC-15(G)" xfId="105" xr:uid="{00000000-0005-0000-0000-000068000000}"/>
    <cellStyle name="_2P &amp; Changeover_OCT-J_Style Change Over YC-9 (I)  28~02 May, 2013_Book1" xfId="106" xr:uid="{00000000-0005-0000-0000-000069000000}"/>
    <cellStyle name="_2P &amp; Changeover_OCT-J_Style Change Over YC-9 (I)  28~02 May, 2013_Style Changeover Data Information-" xfId="107" xr:uid="{00000000-0005-0000-0000-00006A000000}"/>
    <cellStyle name="_2P &amp; Changeover_OCT-J_Style Change Over YC-9 (I)  28~02 May, 2013_Style Changeover Data Information-YCL13C" xfId="108" xr:uid="{00000000-0005-0000-0000-00006B000000}"/>
    <cellStyle name="_2P &amp; Changeover_OCT-J_Style Changeover Data Information-" xfId="109" xr:uid="{00000000-0005-0000-0000-00006C000000}"/>
    <cellStyle name="_2P &amp; Changeover_OCT-J_Xl0000034" xfId="110" xr:uid="{00000000-0005-0000-0000-00006D000000}"/>
    <cellStyle name="_2P &amp; Changeover_Opt training" xfId="111" xr:uid="{00000000-0005-0000-0000-00006E000000}"/>
    <cellStyle name="_2P &amp; Changeover_Participant List &amp; data for SKB  Sector-7 Ksl_6 D Duration_ 02 ~06 Feb,20131" xfId="112" xr:uid="{00000000-0005-0000-0000-00006F000000}"/>
    <cellStyle name="_2P &amp; Changeover_Participant List &amp; data for SKB  Sector-7 Ksl_6 E Duration_ 21 ~25 April,2013" xfId="113" xr:uid="{00000000-0005-0000-0000-000070000000}"/>
    <cellStyle name="_2P &amp; Changeover_Participant List &amp; data for SKB  Sector-7 Ksl_6 Mini-1 Duration_23 ~27 Feb,20131" xfId="114" xr:uid="{00000000-0005-0000-0000-000071000000}"/>
    <cellStyle name="_2P &amp; Changeover_Participant List &amp; data for SKB  Sector-7 Ksl_6 Mini-1 Duration_29th April ~05th MAY,20131" xfId="115" xr:uid="{00000000-0005-0000-0000-000072000000}"/>
    <cellStyle name="_2P &amp; Changeover_Participant List &amp; data for SKB  Sector-7 Ksl_6 Mini-4 Duration_2 ~06th March,2013" xfId="116" xr:uid="{00000000-0005-0000-0000-000073000000}"/>
    <cellStyle name="_2P &amp; Changeover_Participants list &amp; data for (Ksl_6Mini 1) 15th ~ 22th April '2013" xfId="117" xr:uid="{00000000-0005-0000-0000-000074000000}"/>
    <cellStyle name="_2P &amp; Changeover_Participants list &amp; data for SKB- (Ksl_5_G. Sector 7) 16~20 June'2012" xfId="118" xr:uid="{00000000-0005-0000-0000-000075000000}"/>
    <cellStyle name="_2P &amp; Changeover_Participants list &amp; data for SKB- (Ksl_6_A+B1 Line Sector 7)  Jan12 ~16,2013" xfId="119" xr:uid="{00000000-0005-0000-0000-000076000000}"/>
    <cellStyle name="_2P &amp; Changeover_Participants list &amp; data for SKB- (Ksl_6_A+B1 Line Sector 7)  Jan12 ~16,2013_Participant List &amp; data for SKB  Sector-7 Ksl_4 Mini-3 Duration_06~10July 2013" xfId="120" xr:uid="{00000000-0005-0000-0000-000077000000}"/>
    <cellStyle name="_2P &amp; Changeover_Participants list &amp; data for SKB- (Ksl_6_A+B1 Line Sector 7)  Jan12 ~16,2013_Participant List &amp; data for SKB  Sector-7 Ksl_6-F Duration_ 22~27 'June,2013" xfId="121" xr:uid="{00000000-0005-0000-0000-000078000000}"/>
    <cellStyle name="_2P &amp; Changeover_participants list &amp; data for SKB- (Ksl_6_A+B1 Line Sector 7)  Jan12 ~16,20131" xfId="122" xr:uid="{00000000-0005-0000-0000-000079000000}"/>
    <cellStyle name="_2P &amp; Changeover_participants list &amp; data for SKB- (Ksl_6_A+B1 Line Sector 7)  Jan12 ~16,20131_Participant List &amp; data for SKB  Sector-7 Ksl_4 Mini-3 Duration_06~10July 2013" xfId="123" xr:uid="{00000000-0005-0000-0000-00007A000000}"/>
    <cellStyle name="_2P &amp; Changeover_participants list &amp; data for SKB- (Ksl_6_A+B1 Line Sector 7)  Jan12 ~16,20131_Participant List &amp; data for SKB  Sector-7 Ksl_6-F Duration_ 22~27 'June,2013" xfId="124" xr:uid="{00000000-0005-0000-0000-00007B000000}"/>
    <cellStyle name="_2P &amp; Changeover_participants list &amp; data for SKB- (Ksl_6_D Line Sector 7)  Fab 02~06,2013" xfId="125" xr:uid="{00000000-0005-0000-0000-00007C000000}"/>
    <cellStyle name="_2P &amp; Changeover_participants list &amp; data for SKB- (Ksl_6_D Line Sector 7)  Fab 02~06,2013_Participant List &amp; data for SKB  Sector-7 Ksl_4 Mini-3 Duration_06~10July 2013" xfId="126" xr:uid="{00000000-0005-0000-0000-00007D000000}"/>
    <cellStyle name="_2P &amp; Changeover_peroto Chart YC-8" xfId="127" xr:uid="{00000000-0005-0000-0000-00007E000000}"/>
    <cellStyle name="_2P &amp; Changeover_Raw data of Style Change Over YCL - 8-(E+M) 17-24 July'2011" xfId="128" xr:uid="{00000000-0005-0000-0000-00007F000000}"/>
    <cellStyle name="_2P &amp; Changeover_Raw Data of Style Change Over YCL - 8(J) 30-1 to 03-2  Cerrent" xfId="129" xr:uid="{00000000-0005-0000-0000-000080000000}"/>
    <cellStyle name="_2P &amp; Changeover_Raw Data of Style Change Over YCL - 8(J) 30-1 to 03-2  Cerrent_After 5's" xfId="130" xr:uid="{00000000-0005-0000-0000-000081000000}"/>
    <cellStyle name="_2P &amp; Changeover_Raw Data of Style Change Over YCL - 8(J) 30-1 to 03-2  Cerrent_Base Line Data YC-8(C)" xfId="131" xr:uid="{00000000-0005-0000-0000-000082000000}"/>
    <cellStyle name="_2P &amp; Changeover_Raw Data of Style Change Over YCL - 8(J) 30-1 to 03-2  Cerrent_Base line Data-YC-15(G)" xfId="132" xr:uid="{00000000-0005-0000-0000-000083000000}"/>
    <cellStyle name="_2P &amp; Changeover_Raw Data of Style Change Over YCL - 8(J) 30-1 to 03-2  Cerrent_Book1" xfId="133" xr:uid="{00000000-0005-0000-0000-000084000000}"/>
    <cellStyle name="_2P &amp; Changeover_Raw Data of Style Change Over YCL - 8(J) 30-1 to 03-2  Cerrent_Copy of SK Raw data of SKB in Yc-6-(C) 26~31Jan '20131" xfId="134" xr:uid="{00000000-0005-0000-0000-000085000000}"/>
    <cellStyle name="_2P &amp; Changeover_Raw Data of Style Change Over YCL - 8(J) 30-1 to 03-2  Cerrent_Flow Chart YC-8(C) Before1" xfId="135" xr:uid="{00000000-0005-0000-0000-000086000000}"/>
    <cellStyle name="_2P &amp; Changeover_Raw Data of Style Change Over YCL - 8(J) 30-1 to 03-2  Cerrent_MFC(Yc 10C)" xfId="136" xr:uid="{00000000-0005-0000-0000-000087000000}"/>
    <cellStyle name="_2P &amp; Changeover_Raw Data of Style Change Over YCL - 8(J) 30-1 to 03-2  Cerrent_OCT Graph A1" xfId="137" xr:uid="{00000000-0005-0000-0000-000088000000}"/>
    <cellStyle name="_2P &amp; Changeover_Raw Data of Style Change Over YCL - 8(J) 30-1 to 03-2  Cerrent_peroto Chart YC-8" xfId="138" xr:uid="{00000000-0005-0000-0000-000089000000}"/>
    <cellStyle name="_2P &amp; Changeover_Raw Data of Style Change Over YCL - 8(J) 30-1 to 03-2  Cerrent_SK Raw data of SKB in Yc-8-(J) 01~05 Dec'2012" xfId="139" xr:uid="{00000000-0005-0000-0000-00008A000000}"/>
    <cellStyle name="_2P &amp; Changeover_Raw Data of Style Change Over YCL - 8(J) 30-1 to 03-2  Cerrent_SK Raw data of SKB in Yc-8-(J) 01~05 Dec'2012_Base line Data-YC-15(G)" xfId="140" xr:uid="{00000000-0005-0000-0000-00008B000000}"/>
    <cellStyle name="_2P &amp; Changeover_Raw Data of Style Change Over YCL - 8(J) 30-1 to 03-2  Cerrent_SK Raw data of SKB in Yc-8-(J) 01~05 Dec'2012_Book1" xfId="141" xr:uid="{00000000-0005-0000-0000-00008C000000}"/>
    <cellStyle name="_2P &amp; Changeover_Raw Data of Style Change Over YCL - 8(J) 30-1 to 03-2  Cerrent_SK Raw data of SKB in Yc-8-(J) 01~05 Dec'2012_Style Changeover Data Information-" xfId="142" xr:uid="{00000000-0005-0000-0000-00008D000000}"/>
    <cellStyle name="_2P &amp; Changeover_Raw Data of Style Change Over YCL - 8(J) 30-1 to 03-2  Cerrent_SK Raw data of SKB in Yc-8-(J) 01~05 Dec'2012_Style Changeover Data Information-YCL13C" xfId="143" xr:uid="{00000000-0005-0000-0000-00008E000000}"/>
    <cellStyle name="_2P &amp; Changeover_Raw Data of Style Change Over YCL - 8(J) 30-1 to 03-2  Cerrent_SKB RAW DATA" xfId="144" xr:uid="{00000000-0005-0000-0000-00008F000000}"/>
    <cellStyle name="_2P &amp; Changeover_Raw Data of Style Change Over YCL - 8(J) 30-1 to 03-2  Cerrent_SKB YC-8(J)" xfId="145" xr:uid="{00000000-0005-0000-0000-000090000000}"/>
    <cellStyle name="_2P &amp; Changeover_Raw Data of Style Change Over YCL - 8(J) 30-1 to 03-2  Cerrent_SKB(Sewing Kaizen - YCL 14 (A)" xfId="146" xr:uid="{00000000-0005-0000-0000-000091000000}"/>
    <cellStyle name="_2P &amp; Changeover_Raw Data of Style Change Over YCL - 8(J) 30-1 to 03-2  Cerrent_SQDC Board format (revised)-2013" xfId="147" xr:uid="{00000000-0005-0000-0000-000092000000}"/>
    <cellStyle name="_2P &amp; Changeover_Raw Data of Style Change Over YCL - 8(J) 30-1 to 03-2  Cerrent_Style Change Over YC-6 E 23~227 Mar, 2013" xfId="148" xr:uid="{00000000-0005-0000-0000-000093000000}"/>
    <cellStyle name="_2P &amp; Changeover_Raw Data of Style Change Over YCL - 8(J) 30-1 to 03-2  Cerrent_Style Change Over YC-7H  16~21 Aprl, 2013" xfId="149" xr:uid="{00000000-0005-0000-0000-000094000000}"/>
    <cellStyle name="_2P &amp; Changeover_Raw Data of Style Change Over YCL - 8(J) 30-1 to 03-2  Cerrent_Style Changeover Data Information-" xfId="150" xr:uid="{00000000-0005-0000-0000-000095000000}"/>
    <cellStyle name="_2P &amp; Changeover_Raw Data of Style Change Over YCL - 8(J) 30-1 to 03-2  Cerrent_Xl0000034" xfId="151" xr:uid="{00000000-0005-0000-0000-000096000000}"/>
    <cellStyle name="_2P &amp; Changeover_Raw data Ycl-8-F 1~4 Apr,2012" xfId="152" xr:uid="{00000000-0005-0000-0000-000097000000}"/>
    <cellStyle name="_2P &amp; Changeover_SK Raw data of SKB in Yc-8-(J) 01~05 Dec'2012" xfId="153" xr:uid="{00000000-0005-0000-0000-000098000000}"/>
    <cellStyle name="_2P &amp; Changeover_SK Raw data of SKB in Yc-8-(J) 01~05 Dec'2012_Base line Data-YC-15(G)" xfId="154" xr:uid="{00000000-0005-0000-0000-000099000000}"/>
    <cellStyle name="_2P &amp; Changeover_SK Raw data of SKB in Yc-8-(J) 01~05 Dec'2012_Book1" xfId="155" xr:uid="{00000000-0005-0000-0000-00009A000000}"/>
    <cellStyle name="_2P &amp; Changeover_SK Raw data of SKB in Yc-8-(J) 01~05 Dec'2012_Style Changeover Data Information-" xfId="156" xr:uid="{00000000-0005-0000-0000-00009B000000}"/>
    <cellStyle name="_2P &amp; Changeover_SK Raw data of SKB in Yc-8-(J) 01~05 Dec'2012_Style Changeover Data Information-YCL13C" xfId="157" xr:uid="{00000000-0005-0000-0000-00009C000000}"/>
    <cellStyle name="_2P &amp; Changeover_SK Raw data of SKB in Yc-8-I+G2 28Apr~3May'2012" xfId="158" xr:uid="{00000000-0005-0000-0000-00009D000000}"/>
    <cellStyle name="_2P &amp; Changeover_SKB- (Ksl_6_E  Graph &amp; Flow Chart" xfId="159" xr:uid="{00000000-0005-0000-0000-00009E000000}"/>
    <cellStyle name="_2P &amp; Changeover_SKB- (Ksl_6_Mini-1Duration _12~16 May,2013)" xfId="160" xr:uid="{00000000-0005-0000-0000-00009F000000}"/>
    <cellStyle name="_2P &amp; Changeover_SKB YC-8(J)" xfId="161" xr:uid="{00000000-0005-0000-0000-0000A0000000}"/>
    <cellStyle name="_2P &amp; Changeover_SKB(Sewing Kaizen - YCL 14 (A)" xfId="162" xr:uid="{00000000-0005-0000-0000-0000A1000000}"/>
    <cellStyle name="_2P &amp; Changeover_SQDC Board format (revised)-2013" xfId="163" xr:uid="{00000000-0005-0000-0000-0000A2000000}"/>
    <cellStyle name="_2P &amp; Changeover_Style Change Over YC-6 E 23~227 Mar, 2013" xfId="164" xr:uid="{00000000-0005-0000-0000-0000A3000000}"/>
    <cellStyle name="_2P &amp; Changeover_Style Change Over YC-7H  16~21 Aprl, 2013" xfId="165" xr:uid="{00000000-0005-0000-0000-0000A4000000}"/>
    <cellStyle name="_2P &amp; Changeover_Style Change Over YC-8J 11~16 Feb 2012" xfId="166" xr:uid="{00000000-0005-0000-0000-0000A5000000}"/>
    <cellStyle name="_2P &amp; Changeover_Style Change Over YC-8J 24~28 Nov, 2012" xfId="167" xr:uid="{00000000-0005-0000-0000-0000A6000000}"/>
    <cellStyle name="_2P &amp; Changeover_Style Change Over YCL- 8-(I+G1) 25~26 Jan 2012" xfId="168" xr:uid="{00000000-0005-0000-0000-0000A7000000}"/>
    <cellStyle name="_2P &amp; Changeover_Style Change Over YCL- 8-(J) 11-14 February 2012" xfId="169" xr:uid="{00000000-0005-0000-0000-0000A8000000}"/>
    <cellStyle name="_2P &amp; Changeover_Style Change Over YCL- 8-(J) 11-14 February 2012_After 5's" xfId="170" xr:uid="{00000000-0005-0000-0000-0000A9000000}"/>
    <cellStyle name="_2P &amp; Changeover_Style Change Over YCL- 8-(J) 11-14 February 2012_Base Line Data YC-8(C)" xfId="171" xr:uid="{00000000-0005-0000-0000-0000AA000000}"/>
    <cellStyle name="_2P &amp; Changeover_Style Change Over YCL- 8-(J) 11-14 February 2012_Base line Data-YC-15(G)" xfId="172" xr:uid="{00000000-0005-0000-0000-0000AB000000}"/>
    <cellStyle name="_2P &amp; Changeover_Style Change Over YCL- 8-(J) 11-14 February 2012_Book1" xfId="173" xr:uid="{00000000-0005-0000-0000-0000AC000000}"/>
    <cellStyle name="_2P &amp; Changeover_Style Change Over YCL- 8-(J) 11-14 February 2012_Copy of SK Raw data of SKB in Yc-6-(C) 26~31Jan '20131" xfId="174" xr:uid="{00000000-0005-0000-0000-0000AD000000}"/>
    <cellStyle name="_2P &amp; Changeover_Style Change Over YCL- 8-(J) 11-14 February 2012_Critical poin" xfId="175" xr:uid="{00000000-0005-0000-0000-0000AE000000}"/>
    <cellStyle name="_2P &amp; Changeover_Style Change Over YCL- 8-(J) 11-14 February 2012_Critical poin1" xfId="176" xr:uid="{00000000-0005-0000-0000-0000AF000000}"/>
    <cellStyle name="_2P &amp; Changeover_Style Change Over YCL- 8-(J) 11-14 February 2012_Flow Chart YC-8(C) Before1" xfId="177" xr:uid="{00000000-0005-0000-0000-0000B0000000}"/>
    <cellStyle name="_2P &amp; Changeover_Style Change Over YCL- 8-(J) 11-14 February 2012_OCT Graph A1" xfId="178" xr:uid="{00000000-0005-0000-0000-0000B1000000}"/>
    <cellStyle name="_2P &amp; Changeover_Style Change Over YCL- 8-(J) 11-14 February 2012_peroto Chart YC-8" xfId="179" xr:uid="{00000000-0005-0000-0000-0000B2000000}"/>
    <cellStyle name="_2P &amp; Changeover_Style Change Over YCL- 8-(J) 11-14 February 2012_SK Raw data of SKB in Yc-8-(J) 01~05 Dec'2012" xfId="180" xr:uid="{00000000-0005-0000-0000-0000B3000000}"/>
    <cellStyle name="_2P &amp; Changeover_Style Change Over YCL- 8-(J) 11-14 February 2012_SK Raw data of SKB in Yc-8-(J) 01~05 Dec'2012_Base line Data-YC-15(G)" xfId="181" xr:uid="{00000000-0005-0000-0000-0000B4000000}"/>
    <cellStyle name="_2P &amp; Changeover_Style Change Over YCL- 8-(J) 11-14 February 2012_SK Raw data of SKB in Yc-8-(J) 01~05 Dec'2012_Book1" xfId="182" xr:uid="{00000000-0005-0000-0000-0000B5000000}"/>
    <cellStyle name="_2P &amp; Changeover_Style Change Over YCL- 8-(J) 11-14 February 2012_SK Raw data of SKB in Yc-8-(J) 01~05 Dec'2012_Style Changeover Data Information-" xfId="183" xr:uid="{00000000-0005-0000-0000-0000B6000000}"/>
    <cellStyle name="_2P &amp; Changeover_Style Change Over YCL- 8-(J) 11-14 February 2012_SK Raw data of SKB in Yc-8-(J) 01~05 Dec'2012_Style Changeover Data Information-YCL13C" xfId="184" xr:uid="{00000000-0005-0000-0000-0000B7000000}"/>
    <cellStyle name="_2P &amp; Changeover_Style Change Over YCL- 8-(J) 11-14 February 2012_SKB RAW DATA" xfId="185" xr:uid="{00000000-0005-0000-0000-0000B8000000}"/>
    <cellStyle name="_2P &amp; Changeover_Style Change Over YCL- 8-(J) 11-14 February 2012_SKB YC-8(J)" xfId="186" xr:uid="{00000000-0005-0000-0000-0000B9000000}"/>
    <cellStyle name="_2P &amp; Changeover_Style Change Over YCL- 8-(J) 11-14 February 2012_SKB(Sewing Kaizen - YCL 14 (A)" xfId="187" xr:uid="{00000000-0005-0000-0000-0000BA000000}"/>
    <cellStyle name="_2P &amp; Changeover_Style Change Over YCL- 8-(J) 11-14 February 2012_SQDC Board format (revised)-2013" xfId="188" xr:uid="{00000000-0005-0000-0000-0000BB000000}"/>
    <cellStyle name="_2P &amp; Changeover_Style Change Over YCL- 8-(J) 11-14 February 2012_Style Change Over YC-7H  16~21 Aprl, 2013" xfId="189" xr:uid="{00000000-0005-0000-0000-0000BC000000}"/>
    <cellStyle name="_2P &amp; Changeover_Style Change Over YCL- 8-(J) 11-14 February 2012_Style Change Over YC-7H  16~21 Aprl, 2013_Base line Data-YC-15(G)" xfId="190" xr:uid="{00000000-0005-0000-0000-0000BD000000}"/>
    <cellStyle name="_2P &amp; Changeover_Style Change Over YCL- 8-(J) 11-14 February 2012_Style Change Over YC-7H  16~21 Aprl, 2013_Book1" xfId="191" xr:uid="{00000000-0005-0000-0000-0000BE000000}"/>
    <cellStyle name="_2P &amp; Changeover_Style Change Over YCL- 8-(J) 11-14 February 2012_Style Change Over YC-7H  16~21 Aprl, 2013_Style Changeover Data Information-" xfId="192" xr:uid="{00000000-0005-0000-0000-0000BF000000}"/>
    <cellStyle name="_2P &amp; Changeover_Style Change Over YCL- 8-(J) 11-14 February 2012_Style Change Over YC-7H  16~21 Aprl, 2013_Style Changeover Data Information-YCL13C" xfId="193" xr:uid="{00000000-0005-0000-0000-0000C0000000}"/>
    <cellStyle name="_2P &amp; Changeover_Style Change Over YCL- 8-(J) 11-14 February 2012_Style Change Over YC-9 (I)  28~02 May, 2013" xfId="194" xr:uid="{00000000-0005-0000-0000-0000C1000000}"/>
    <cellStyle name="_2P &amp; Changeover_Style Change Over YCL- 8-(J) 11-14 February 2012_Style Change Over YC-9 (I)  28~02 May, 2013_Base line Data-YC-15(G)" xfId="195" xr:uid="{00000000-0005-0000-0000-0000C2000000}"/>
    <cellStyle name="_2P &amp; Changeover_Style Change Over YCL- 8-(J) 11-14 February 2012_Style Change Over YC-9 (I)  28~02 May, 2013_Book1" xfId="196" xr:uid="{00000000-0005-0000-0000-0000C3000000}"/>
    <cellStyle name="_2P &amp; Changeover_Style Change Over YCL- 8-(J) 11-14 February 2012_Style Change Over YC-9 (I)  28~02 May, 2013_Style Changeover Data Information-" xfId="197" xr:uid="{00000000-0005-0000-0000-0000C4000000}"/>
    <cellStyle name="_2P &amp; Changeover_Style Change Over YCL- 8-(J) 11-14 February 2012_Style Change Over YC-9 (I)  28~02 May, 2013_Style Changeover Data Information-YCL13C" xfId="198" xr:uid="{00000000-0005-0000-0000-0000C5000000}"/>
    <cellStyle name="_2P &amp; Changeover_Style Change Over YCL- 8-(J) 11-14 February 2012_Style Changeover Data Information-" xfId="199" xr:uid="{00000000-0005-0000-0000-0000C6000000}"/>
    <cellStyle name="_2P &amp; Changeover_Style Change Over YCL- 8-(J) 11-14 February 2012_Xl0000034" xfId="200" xr:uid="{00000000-0005-0000-0000-0000C7000000}"/>
    <cellStyle name="_2P &amp; Changeover_Style Changeover Data Information-" xfId="201" xr:uid="{00000000-0005-0000-0000-0000C8000000}"/>
    <cellStyle name="_2P &amp; Changeover_Xl0000034" xfId="202" xr:uid="{00000000-0005-0000-0000-0000C9000000}"/>
    <cellStyle name="_2P &amp; Changeover_YC_8 F Raw data" xfId="203" xr:uid="{00000000-0005-0000-0000-0000CA000000}"/>
    <cellStyle name="_2P &amp; Changeover_YC_8 F Raw data_After 5's" xfId="204" xr:uid="{00000000-0005-0000-0000-0000CB000000}"/>
    <cellStyle name="_2P &amp; Changeover_YC_8 F Raw data_Base Line Data YC-8(C)" xfId="205" xr:uid="{00000000-0005-0000-0000-0000CC000000}"/>
    <cellStyle name="_2P &amp; Changeover_YC_8 F Raw data_Base line Data-YC-15(G)" xfId="206" xr:uid="{00000000-0005-0000-0000-0000CD000000}"/>
    <cellStyle name="_2P &amp; Changeover_YC_8 F Raw data_Book1" xfId="207" xr:uid="{00000000-0005-0000-0000-0000CE000000}"/>
    <cellStyle name="_2P &amp; Changeover_YC_8 F Raw data_Copy of SK Raw data of SKB in Yc-6-(C) 26~31Jan '20131" xfId="208" xr:uid="{00000000-0005-0000-0000-0000CF000000}"/>
    <cellStyle name="_2P &amp; Changeover_YC_8 F Raw data_Flow Chart YC-8(C) Before1" xfId="209" xr:uid="{00000000-0005-0000-0000-0000D0000000}"/>
    <cellStyle name="_2P &amp; Changeover_YC_8 F Raw data_MFC(Yc 10C)" xfId="210" xr:uid="{00000000-0005-0000-0000-0000D1000000}"/>
    <cellStyle name="_2P &amp; Changeover_YC_8 F Raw data_OCT Graph A1" xfId="211" xr:uid="{00000000-0005-0000-0000-0000D2000000}"/>
    <cellStyle name="_2P &amp; Changeover_YC_8 F Raw data_peroto Chart YC-8" xfId="212" xr:uid="{00000000-0005-0000-0000-0000D3000000}"/>
    <cellStyle name="_2P &amp; Changeover_YC_8 F Raw data_SK Raw data of SKB in Yc-8-(J) 01~05 Dec'2012" xfId="213" xr:uid="{00000000-0005-0000-0000-0000D4000000}"/>
    <cellStyle name="_2P &amp; Changeover_YC_8 F Raw data_SK Raw data of SKB in Yc-8-(J) 01~05 Dec'2012_Base line Data-YC-15(G)" xfId="214" xr:uid="{00000000-0005-0000-0000-0000D5000000}"/>
    <cellStyle name="_2P &amp; Changeover_YC_8 F Raw data_SK Raw data of SKB in Yc-8-(J) 01~05 Dec'2012_Book1" xfId="215" xr:uid="{00000000-0005-0000-0000-0000D6000000}"/>
    <cellStyle name="_2P &amp; Changeover_YC_8 F Raw data_SK Raw data of SKB in Yc-8-(J) 01~05 Dec'2012_Style Changeover Data Information-" xfId="216" xr:uid="{00000000-0005-0000-0000-0000D7000000}"/>
    <cellStyle name="_2P &amp; Changeover_YC_8 F Raw data_SK Raw data of SKB in Yc-8-(J) 01~05 Dec'2012_Style Changeover Data Information-YCL13C" xfId="217" xr:uid="{00000000-0005-0000-0000-0000D8000000}"/>
    <cellStyle name="_2P &amp; Changeover_YC_8 F Raw data_SKB RAW DATA" xfId="218" xr:uid="{00000000-0005-0000-0000-0000D9000000}"/>
    <cellStyle name="_2P &amp; Changeover_YC_8 F Raw data_SKB YC-8(J)" xfId="219" xr:uid="{00000000-0005-0000-0000-0000DA000000}"/>
    <cellStyle name="_2P &amp; Changeover_YC_8 F Raw data_SKB(Sewing Kaizen - YCL 14 (A)" xfId="220" xr:uid="{00000000-0005-0000-0000-0000DB000000}"/>
    <cellStyle name="_2P &amp; Changeover_YC_8 F Raw data_SQDC Board format (revised)-2013" xfId="221" xr:uid="{00000000-0005-0000-0000-0000DC000000}"/>
    <cellStyle name="_2P &amp; Changeover_YC_8 F Raw data_Style Change Over YC-6 E 23~227 Mar, 2013" xfId="222" xr:uid="{00000000-0005-0000-0000-0000DD000000}"/>
    <cellStyle name="_2P &amp; Changeover_YC_8 F Raw data_Style Change Over YC-7H  16~21 Aprl, 2013" xfId="223" xr:uid="{00000000-0005-0000-0000-0000DE000000}"/>
    <cellStyle name="_2P &amp; Changeover_YC_8 F Raw data_Style Changeover Data Information-" xfId="224" xr:uid="{00000000-0005-0000-0000-0000DF000000}"/>
    <cellStyle name="_2P &amp; Changeover_YC_8 F Raw data_Xl0000034" xfId="225" xr:uid="{00000000-0005-0000-0000-0000E0000000}"/>
    <cellStyle name="_2P &amp; Changeover_YC-8 (I+G2) Raw data" xfId="226" xr:uid="{00000000-0005-0000-0000-0000E1000000}"/>
    <cellStyle name="_2P &amp; Changeover_YC-8-I+G1  29-04-2012" xfId="227" xr:uid="{00000000-0005-0000-0000-0000E2000000}"/>
    <cellStyle name="_2P &amp; Changeover_YC-8-I+G2  30-05-2012" xfId="228" xr:uid="{00000000-0005-0000-0000-0000E3000000}"/>
    <cellStyle name="_2P &amp; Changeover_Yc-9E" xfId="229" xr:uid="{00000000-0005-0000-0000-0000E4000000}"/>
    <cellStyle name="_2P &amp; Changeover_Yc-9E_Style Change Over YC-7H  16~21 Aprl, 2013" xfId="230" xr:uid="{00000000-0005-0000-0000-0000E5000000}"/>
    <cellStyle name="_2P &amp; Changeover_Yc-9E_Style Change Over YC-7H  16~21 Aprl, 2013_Base line Data-YC-15(G)" xfId="231" xr:uid="{00000000-0005-0000-0000-0000E6000000}"/>
    <cellStyle name="_2P &amp; Changeover_Yc-9E_Style Change Over YC-7H  16~21 Aprl, 2013_Book1" xfId="232" xr:uid="{00000000-0005-0000-0000-0000E7000000}"/>
    <cellStyle name="_2P &amp; Changeover_Yc-9E_Style Change Over YC-7H  16~21 Aprl, 2013_Style Changeover Data Information-" xfId="233" xr:uid="{00000000-0005-0000-0000-0000E8000000}"/>
    <cellStyle name="_2P &amp; Changeover_Yc-9E_Style Change Over YC-7H  16~21 Aprl, 2013_Style Changeover Data Information-YCL13C" xfId="234" xr:uid="{00000000-0005-0000-0000-0000E9000000}"/>
    <cellStyle name="_2P &amp; Changeover_Yc-9E_Style Change Over YC-9 (I)  28~02 May, 2013" xfId="235" xr:uid="{00000000-0005-0000-0000-0000EA000000}"/>
    <cellStyle name="_2P &amp; Changeover_Yc-9E_Style Change Over YC-9 (I)  28~02 May, 2013_Base line Data-YC-15(G)" xfId="236" xr:uid="{00000000-0005-0000-0000-0000EB000000}"/>
    <cellStyle name="_2P &amp; Changeover_Yc-9E_Style Change Over YC-9 (I)  28~02 May, 2013_Book1" xfId="237" xr:uid="{00000000-0005-0000-0000-0000EC000000}"/>
    <cellStyle name="_2P &amp; Changeover_Yc-9E_Style Change Over YC-9 (I)  28~02 May, 2013_Style Changeover Data Information-" xfId="238" xr:uid="{00000000-0005-0000-0000-0000ED000000}"/>
    <cellStyle name="_2P &amp; Changeover_Yc-9E_Style Change Over YC-9 (I)  28~02 May, 2013_Style Changeover Data Information-YCL13C" xfId="239" xr:uid="{00000000-0005-0000-0000-0000EE000000}"/>
    <cellStyle name="_2P &amp; Changeover_Yc-9E1" xfId="240" xr:uid="{00000000-0005-0000-0000-0000EF000000}"/>
    <cellStyle name="_2P &amp; Changeover_Yc-9E1_Style Change Over YC-7H  16~21 Aprl, 2013" xfId="241" xr:uid="{00000000-0005-0000-0000-0000F0000000}"/>
    <cellStyle name="_2P &amp; Changeover_Yc-9E1_Style Change Over YC-7H  16~21 Aprl, 2013_Base line Data-YC-15(G)" xfId="242" xr:uid="{00000000-0005-0000-0000-0000F1000000}"/>
    <cellStyle name="_2P &amp; Changeover_Yc-9E1_Style Change Over YC-7H  16~21 Aprl, 2013_Book1" xfId="243" xr:uid="{00000000-0005-0000-0000-0000F2000000}"/>
    <cellStyle name="_2P &amp; Changeover_Yc-9E1_Style Change Over YC-7H  16~21 Aprl, 2013_Style Changeover Data Information-" xfId="244" xr:uid="{00000000-0005-0000-0000-0000F3000000}"/>
    <cellStyle name="_2P &amp; Changeover_Yc-9E1_Style Change Over YC-7H  16~21 Aprl, 2013_Style Changeover Data Information-YCL13C" xfId="245" xr:uid="{00000000-0005-0000-0000-0000F4000000}"/>
    <cellStyle name="_2P &amp; Changeover_Yc-9E1_Style Change Over YC-9 (I)  28~02 May, 2013" xfId="246" xr:uid="{00000000-0005-0000-0000-0000F5000000}"/>
    <cellStyle name="_2P &amp; Changeover_Yc-9E1_Style Change Over YC-9 (I)  28~02 May, 2013_Base line Data-YC-15(G)" xfId="247" xr:uid="{00000000-0005-0000-0000-0000F6000000}"/>
    <cellStyle name="_2P &amp; Changeover_Yc-9E1_Style Change Over YC-9 (I)  28~02 May, 2013_Book1" xfId="248" xr:uid="{00000000-0005-0000-0000-0000F7000000}"/>
    <cellStyle name="_2P &amp; Changeover_Yc-9E1_Style Change Over YC-9 (I)  28~02 May, 2013_Style Changeover Data Information-" xfId="249" xr:uid="{00000000-0005-0000-0000-0000F8000000}"/>
    <cellStyle name="_2P &amp; Changeover_Yc-9E1_Style Change Over YC-9 (I)  28~02 May, 2013_Style Changeover Data Information-YCL13C" xfId="250" xr:uid="{00000000-0005-0000-0000-0000F9000000}"/>
    <cellStyle name="_2P &amp; Changeover_YCL - 8 (H) ~ Changeover -Raw data(16 Feb~22 Feb,12)" xfId="251" xr:uid="{00000000-0005-0000-0000-0000FA000000}"/>
    <cellStyle name="_2P &amp; Changeover_YCL- 8 E+MOD~ Changeover -Raw data(3rd April to 7th April )" xfId="252" xr:uid="{00000000-0005-0000-0000-0000FB000000}"/>
    <cellStyle name="_2P &amp; Changeover_YCL2012_003I_SKB Presentation_YCL 8-I+G2(Changeover)_24~29 Aprl,2012 (version 1)" xfId="253" xr:uid="{00000000-0005-0000-0000-0000FC000000}"/>
    <cellStyle name="_2P &amp; Changeover_YCL2012-010I-SKB Presentation_YCL 8(H+G1_Changeover_12~18 April, 2012" xfId="254" xr:uid="{00000000-0005-0000-0000-0000FD000000}"/>
    <cellStyle name="_2P &amp; Changeover_YCL2012-010I-SKB Presentation_YCL 8(H+G1_Changeover_12~18 April, 2012_Base Line Data YC-8(C)" xfId="255" xr:uid="{00000000-0005-0000-0000-0000FE000000}"/>
    <cellStyle name="_2P &amp; Changeover_YCL2012-010I-SKB Presentation_YCL 8(H+G1_Changeover_12~18 April, 2012_Base line Data-YC-15(G)" xfId="256" xr:uid="{00000000-0005-0000-0000-0000FF000000}"/>
    <cellStyle name="_2P &amp; Changeover_YCL2012-010I-SKB Presentation_YCL 8(H+G1_Changeover_12~18 April, 2012_Book1" xfId="257" xr:uid="{00000000-0005-0000-0000-000000010000}"/>
    <cellStyle name="_2P &amp; Changeover_YCL2012-010I-SKB Presentation_YCL 8(H+G1_Changeover_12~18 April, 2012_Copy of SK Raw data of SKB in Yc-6-(C) 26~31Jan '20131" xfId="258" xr:uid="{00000000-0005-0000-0000-000001010000}"/>
    <cellStyle name="_2P &amp; Changeover_YCL2012-010I-SKB Presentation_YCL 8(H+G1_Changeover_12~18 April, 2012_Flow Chart YC-8(C) Before1" xfId="259" xr:uid="{00000000-0005-0000-0000-000002010000}"/>
    <cellStyle name="_2P &amp; Changeover_YCL2012-010I-SKB Presentation_YCL 8(H+G1_Changeover_12~18 April, 2012_OCT Graph A1" xfId="260" xr:uid="{00000000-0005-0000-0000-000003010000}"/>
    <cellStyle name="_2P &amp; Changeover_YCL2012-010I-SKB Presentation_YCL 8(H+G1_Changeover_12~18 April, 2012_SK Raw data of SKB in Yc-8-(J) 01~05 Dec'2012" xfId="261" xr:uid="{00000000-0005-0000-0000-000004010000}"/>
    <cellStyle name="_2P &amp; Changeover_YCL2012-010I-SKB Presentation_YCL 8(H+G1_Changeover_12~18 April, 2012_SK Raw data of SKB in Yc-8-(J) 01~05 Dec'2012_Base line Data-YC-15(G)" xfId="262" xr:uid="{00000000-0005-0000-0000-000005010000}"/>
    <cellStyle name="_2P &amp; Changeover_YCL2012-010I-SKB Presentation_YCL 8(H+G1_Changeover_12~18 April, 2012_SK Raw data of SKB in Yc-8-(J) 01~05 Dec'2012_Book1" xfId="263" xr:uid="{00000000-0005-0000-0000-000006010000}"/>
    <cellStyle name="_2P &amp; Changeover_YCL2012-010I-SKB Presentation_YCL 8(H+G1_Changeover_12~18 April, 2012_SK Raw data of SKB in Yc-8-(J) 01~05 Dec'2012_Style Changeover Data Information-" xfId="264" xr:uid="{00000000-0005-0000-0000-000007010000}"/>
    <cellStyle name="_2P &amp; Changeover_YCL2012-010I-SKB Presentation_YCL 8(H+G1_Changeover_12~18 April, 2012_SK Raw data of SKB in Yc-8-(J) 01~05 Dec'2012_Style Changeover Data Information-YCL13C" xfId="265" xr:uid="{00000000-0005-0000-0000-000008010000}"/>
    <cellStyle name="_2P &amp; Changeover_YCL2012-010I-SKB Presentation_YCL 8(H+G1_Changeover_12~18 April, 2012_SKB RAW DATA" xfId="266" xr:uid="{00000000-0005-0000-0000-000009010000}"/>
    <cellStyle name="_2P &amp; Changeover_YCL2012-010I-SKB Presentation_YCL 8(H+G1_Changeover_12~18 April, 2012_SKB YC-8(J)" xfId="267" xr:uid="{00000000-0005-0000-0000-00000A010000}"/>
    <cellStyle name="_2P &amp; Changeover_YCL2012-010I-SKB Presentation_YCL 8(H+G1_Changeover_12~18 April, 2012_SKB(Sewing Kaizen - YCL 14 (A)" xfId="268" xr:uid="{00000000-0005-0000-0000-00000B010000}"/>
    <cellStyle name="_2P &amp; Changeover_YCL2012-010I-SKB Presentation_YCL 8(H+G1_Changeover_12~18 April, 2012_SQDC Board format (revised)-2013" xfId="269" xr:uid="{00000000-0005-0000-0000-00000C010000}"/>
    <cellStyle name="_2P &amp; Changeover_YCL2012-010I-SKB Presentation_YCL 8(H+G1_Changeover_12~18 April, 2012_Style Changeover Data Information-" xfId="270" xr:uid="{00000000-0005-0000-0000-00000D010000}"/>
    <cellStyle name="_2P &amp; Changeover_YCL2012-010I-SKB Presentation_YCL 8(H+G1_Changeover_12~18 April, 2012_Xl0000034" xfId="271" xr:uid="{00000000-0005-0000-0000-00000E010000}"/>
    <cellStyle name="_2P &amp; Changeover_Ycl-6C" xfId="272" xr:uid="{00000000-0005-0000-0000-00000F010000}"/>
    <cellStyle name="_2P &amp; Changeover_Ycl-7H" xfId="273" xr:uid="{00000000-0005-0000-0000-000010010000}"/>
    <cellStyle name="_2P &amp; Changeover_Ycl-7H_Base line Data-YC-15(G)" xfId="274" xr:uid="{00000000-0005-0000-0000-000011010000}"/>
    <cellStyle name="_2P &amp; Changeover_Ycl-7H_Book1" xfId="275" xr:uid="{00000000-0005-0000-0000-000012010000}"/>
    <cellStyle name="_2P &amp; Changeover_Ycl-7H_Style Changeover Data Information-" xfId="276" xr:uid="{00000000-0005-0000-0000-000013010000}"/>
    <cellStyle name="_2P &amp; Changeover_Ycl-7H_Style Changeover Data Information-YCL13C" xfId="277" xr:uid="{00000000-0005-0000-0000-000014010000}"/>
    <cellStyle name="_2P &amp; Changeover_YCL-8-G+1 31-01-2012" xfId="278" xr:uid="{00000000-0005-0000-0000-000015010000}"/>
    <cellStyle name="_2P &amp; Changeover_YCL-8-G+1 31-01-2012_After 5's" xfId="279" xr:uid="{00000000-0005-0000-0000-000016010000}"/>
    <cellStyle name="_2P &amp; Changeover_YCL-8-G+1 31-01-2012_Base Line Data YC-8(C)" xfId="280" xr:uid="{00000000-0005-0000-0000-000017010000}"/>
    <cellStyle name="_2P &amp; Changeover_YCL-8-G+1 31-01-2012_Base line Data-YC-15(G)" xfId="281" xr:uid="{00000000-0005-0000-0000-000018010000}"/>
    <cellStyle name="_2P &amp; Changeover_YCL-8-G+1 31-01-2012_Book1" xfId="282" xr:uid="{00000000-0005-0000-0000-000019010000}"/>
    <cellStyle name="_2P &amp; Changeover_YCL-8-G+1 31-01-2012_Copy of SK Raw data of SKB in Yc-6-(C) 26~31Jan '20131" xfId="283" xr:uid="{00000000-0005-0000-0000-00001A010000}"/>
    <cellStyle name="_2P &amp; Changeover_YCL-8-G+1 31-01-2012_Critical poin" xfId="284" xr:uid="{00000000-0005-0000-0000-00001B010000}"/>
    <cellStyle name="_2P &amp; Changeover_YCL-8-G+1 31-01-2012_Critical poin1" xfId="285" xr:uid="{00000000-0005-0000-0000-00001C010000}"/>
    <cellStyle name="_2P &amp; Changeover_YCL-8-G+1 31-01-2012_Flow Chart YC-8(C) Before1" xfId="286" xr:uid="{00000000-0005-0000-0000-00001D010000}"/>
    <cellStyle name="_2P &amp; Changeover_YCL-8-G+1 31-01-2012_OCT Graph A1" xfId="287" xr:uid="{00000000-0005-0000-0000-00001E010000}"/>
    <cellStyle name="_2P &amp; Changeover_YCL-8-G+1 31-01-2012_peroto Chart YC-8" xfId="288" xr:uid="{00000000-0005-0000-0000-00001F010000}"/>
    <cellStyle name="_2P &amp; Changeover_YCL-8-G+1 31-01-2012_SK Raw data of SKB in Yc-8-(J) 01~05 Dec'2012" xfId="289" xr:uid="{00000000-0005-0000-0000-000020010000}"/>
    <cellStyle name="_2P &amp; Changeover_YCL-8-G+1 31-01-2012_SK Raw data of SKB in Yc-8-(J) 01~05 Dec'2012_Base line Data-YC-15(G)" xfId="290" xr:uid="{00000000-0005-0000-0000-000021010000}"/>
    <cellStyle name="_2P &amp; Changeover_YCL-8-G+1 31-01-2012_SK Raw data of SKB in Yc-8-(J) 01~05 Dec'2012_Book1" xfId="291" xr:uid="{00000000-0005-0000-0000-000022010000}"/>
    <cellStyle name="_2P &amp; Changeover_YCL-8-G+1 31-01-2012_SK Raw data of SKB in Yc-8-(J) 01~05 Dec'2012_Style Changeover Data Information-" xfId="292" xr:uid="{00000000-0005-0000-0000-000023010000}"/>
    <cellStyle name="_2P &amp; Changeover_YCL-8-G+1 31-01-2012_SK Raw data of SKB in Yc-8-(J) 01~05 Dec'2012_Style Changeover Data Information-YCL13C" xfId="293" xr:uid="{00000000-0005-0000-0000-000024010000}"/>
    <cellStyle name="_2P &amp; Changeover_YCL-8-G+1 31-01-2012_SKB RAW DATA" xfId="294" xr:uid="{00000000-0005-0000-0000-000025010000}"/>
    <cellStyle name="_2P &amp; Changeover_YCL-8-G+1 31-01-2012_SKB YC-8(J)" xfId="295" xr:uid="{00000000-0005-0000-0000-000026010000}"/>
    <cellStyle name="_2P &amp; Changeover_YCL-8-G+1 31-01-2012_SKB(Sewing Kaizen - YCL 14 (A)" xfId="296" xr:uid="{00000000-0005-0000-0000-000027010000}"/>
    <cellStyle name="_2P &amp; Changeover_YCL-8-G+1 31-01-2012_SQDC Board format (revised)-2013" xfId="297" xr:uid="{00000000-0005-0000-0000-000028010000}"/>
    <cellStyle name="_2P &amp; Changeover_YCL-8-G+1 31-01-2012_Style Change Over YC-7H  16~21 Aprl, 2013" xfId="298" xr:uid="{00000000-0005-0000-0000-000029010000}"/>
    <cellStyle name="_2P &amp; Changeover_YCL-8-G+1 31-01-2012_Style Change Over YC-7H  16~21 Aprl, 2013_Base line Data-YC-15(G)" xfId="299" xr:uid="{00000000-0005-0000-0000-00002A010000}"/>
    <cellStyle name="_2P &amp; Changeover_YCL-8-G+1 31-01-2012_Style Change Over YC-7H  16~21 Aprl, 2013_Book1" xfId="300" xr:uid="{00000000-0005-0000-0000-00002B010000}"/>
    <cellStyle name="_2P &amp; Changeover_YCL-8-G+1 31-01-2012_Style Change Over YC-7H  16~21 Aprl, 2013_Style Changeover Data Information-" xfId="301" xr:uid="{00000000-0005-0000-0000-00002C010000}"/>
    <cellStyle name="_2P &amp; Changeover_YCL-8-G+1 31-01-2012_Style Change Over YC-7H  16~21 Aprl, 2013_Style Changeover Data Information-YCL13C" xfId="302" xr:uid="{00000000-0005-0000-0000-00002D010000}"/>
    <cellStyle name="_2P &amp; Changeover_YCL-8-G+1 31-01-2012_Style Change Over YC-9 (I)  28~02 May, 2013" xfId="303" xr:uid="{00000000-0005-0000-0000-00002E010000}"/>
    <cellStyle name="_2P &amp; Changeover_YCL-8-G+1 31-01-2012_Style Change Over YC-9 (I)  28~02 May, 2013_Base line Data-YC-15(G)" xfId="304" xr:uid="{00000000-0005-0000-0000-00002F010000}"/>
    <cellStyle name="_2P &amp; Changeover_YCL-8-G+1 31-01-2012_Style Change Over YC-9 (I)  28~02 May, 2013_Book1" xfId="305" xr:uid="{00000000-0005-0000-0000-000030010000}"/>
    <cellStyle name="_2P &amp; Changeover_YCL-8-G+1 31-01-2012_Style Change Over YC-9 (I)  28~02 May, 2013_Style Changeover Data Information-" xfId="306" xr:uid="{00000000-0005-0000-0000-000031010000}"/>
    <cellStyle name="_2P &amp; Changeover_YCL-8-G+1 31-01-2012_Style Change Over YC-9 (I)  28~02 May, 2013_Style Changeover Data Information-YCL13C" xfId="307" xr:uid="{00000000-0005-0000-0000-000032010000}"/>
    <cellStyle name="_2P &amp; Changeover_YCL-8-G+1 31-01-2012_Style Changeover Data Information-" xfId="308" xr:uid="{00000000-0005-0000-0000-000033010000}"/>
    <cellStyle name="_2P &amp; Changeover_YCL-8-G+1 31-01-2012_Xl0000034" xfId="309" xr:uid="{00000000-0005-0000-0000-000034010000}"/>
    <cellStyle name="_3rd" xfId="310" xr:uid="{00000000-0005-0000-0000-000035010000}"/>
    <cellStyle name="_5th" xfId="311" xr:uid="{00000000-0005-0000-0000-000036010000}"/>
    <cellStyle name="_5th Week" xfId="312" xr:uid="{00000000-0005-0000-0000-000037010000}"/>
    <cellStyle name="_5th Week Style Change" xfId="313" xr:uid="{00000000-0005-0000-0000-000038010000}"/>
    <cellStyle name="_5th Week1" xfId="314" xr:uid="{00000000-0005-0000-0000-000039010000}"/>
    <cellStyle name="_April '10" xfId="315" xr:uid="{00000000-0005-0000-0000-00003A010000}"/>
    <cellStyle name="_April '10 2" xfId="316" xr:uid="{00000000-0005-0000-0000-00003B010000}"/>
    <cellStyle name="_April 17-22" xfId="317" xr:uid="{00000000-0005-0000-0000-00003C010000}"/>
    <cellStyle name="_April 17-22 2" xfId="318" xr:uid="{00000000-0005-0000-0000-00003D010000}"/>
    <cellStyle name="_April 17-22_27- JULY- 01 AUG" xfId="319" xr:uid="{00000000-0005-0000-0000-00003E010000}"/>
    <cellStyle name="_April 17-22_27- JULY- 01 AUG_BD All Fac Weekly Eff% Status (20th Oct- 24th Oct ) ' 13" xfId="320" xr:uid="{00000000-0005-0000-0000-00003F010000}"/>
    <cellStyle name="_April 17-22_All  Raw (Jan to Apr) 2013 (1)........" xfId="321" xr:uid="{00000000-0005-0000-0000-000040010000}"/>
    <cellStyle name="_April 17-22_All 2013 Up to 16 th May " xfId="322" xr:uid="{00000000-0005-0000-0000-000041010000}"/>
    <cellStyle name="_April 17-22_All 2013 Up to 16 th May after revised top 70" xfId="323" xr:uid="{00000000-0005-0000-0000-000042010000}"/>
    <cellStyle name="_April 17-22_All 2013 Up to 6th June" xfId="324" xr:uid="{00000000-0005-0000-0000-000043010000}"/>
    <cellStyle name="_April 17-22_All 2013 Up to 9th May " xfId="325" xr:uid="{00000000-0005-0000-0000-000044010000}"/>
    <cellStyle name="_April 17-22_All 2013 Update Virsion for Work update" xfId="326" xr:uid="{00000000-0005-0000-0000-000045010000}"/>
    <cellStyle name="_April 17-22_All 2013 Update Virsion g" xfId="327" xr:uid="{00000000-0005-0000-0000-000046010000}"/>
    <cellStyle name="_April 17-22_April'01-04-2013" xfId="328" xr:uid="{00000000-0005-0000-0000-000047010000}"/>
    <cellStyle name="_April 17-22_April'01-04-2013_BD All Fac Weekly Eff% Status (20th Oct- 24th Oct ) ' 13" xfId="329" xr:uid="{00000000-0005-0000-0000-000048010000}"/>
    <cellStyle name="_April 17-22_aPRIL-29-02 mAY" xfId="330" xr:uid="{00000000-0005-0000-0000-000049010000}"/>
    <cellStyle name="_April 17-22_aPRIL-29-02 mAY_BD All Fac Weekly Eff% Status (20th Oct- 24th Oct ) ' 13" xfId="331" xr:uid="{00000000-0005-0000-0000-00004A010000}"/>
    <cellStyle name="_April 17-22_August '01-08-2013" xfId="332" xr:uid="{00000000-0005-0000-0000-00004B010000}"/>
    <cellStyle name="_April 17-22_August '01-08-2013_1" xfId="333" xr:uid="{00000000-0005-0000-0000-00004C010000}"/>
    <cellStyle name="_April 17-22_August '01-08-2013_BD All Fac Weekly Eff% Status (20th Oct- 24th Oct ) ' 13" xfId="334" xr:uid="{00000000-0005-0000-0000-00004D010000}"/>
    <cellStyle name="_April 17-22_BD All Fac Weekly Eff% Status (11th Aug to 17th Aug) ' 12" xfId="335" xr:uid="{00000000-0005-0000-0000-00004E010000}"/>
    <cellStyle name="_April 17-22_BD All Fac Weekly Eff% Status (14th July to 20th July) ' 12" xfId="336" xr:uid="{00000000-0005-0000-0000-00004F010000}"/>
    <cellStyle name="_April 17-22_BD All Fac Weekly Eff% Status (20th Oct- 24th Oct ) ' 13" xfId="337" xr:uid="{00000000-0005-0000-0000-000050010000}"/>
    <cellStyle name="_April 17-22_BD All Fac Weekly Eff% Status (22nd Sep to 28th Sep) ' 12" xfId="338" xr:uid="{00000000-0005-0000-0000-000051010000}"/>
    <cellStyle name="_April 17-22_BD All Fac Weekly Eff% Status (2nd June to 8th June) ' 12" xfId="339" xr:uid="{00000000-0005-0000-0000-000052010000}"/>
    <cellStyle name="_April 17-22_BD All Fac Weekly Eff% Status (30th Mar -5th Apr) ' 13" xfId="340" xr:uid="{00000000-0005-0000-0000-000053010000}"/>
    <cellStyle name="_April 17-22_BD All Fac Weekly Eff% Status (3rd Nov to 9th Nov) ' 12" xfId="341" xr:uid="{00000000-0005-0000-0000-000054010000}"/>
    <cellStyle name="_April 17-22_BD All Fac Weekly Eff% Status (6th Oct to 12th Oct) ' 12" xfId="342" xr:uid="{00000000-0005-0000-0000-000055010000}"/>
    <cellStyle name="_April 17-22_Daily Production Report Feb''12" xfId="343" xr:uid="{00000000-0005-0000-0000-000056010000}"/>
    <cellStyle name="_April 17-22_Daily Production ReportApril.2" xfId="344" xr:uid="{00000000-0005-0000-0000-000057010000}"/>
    <cellStyle name="_April 17-22_December'01-12-201213 Anima" xfId="345" xr:uid="{00000000-0005-0000-0000-000058010000}"/>
    <cellStyle name="_April 17-22_December'01-12-201213 Anima_BD All Fac Weekly Eff% Status (20th Oct- 24th Oct ) ' 13" xfId="346" xr:uid="{00000000-0005-0000-0000-000059010000}"/>
    <cellStyle name="_April 17-22_December'01-12-201213 Anima_BD All Fac Weekly Eff% Status (30th Mar -5th Apr) ' 13" xfId="347" xr:uid="{00000000-0005-0000-0000-00005A010000}"/>
    <cellStyle name="_April 17-22_February '01-02-2014" xfId="348" xr:uid="{00000000-0005-0000-0000-00005B010000}"/>
    <cellStyle name="_April 17-22_February'01-02-2013" xfId="349" xr:uid="{00000000-0005-0000-0000-00005C010000}"/>
    <cellStyle name="_April 17-22_February'01-02-2013_BD All Fac Weekly Eff% Status (20th Oct- 24th Oct ) ' 13" xfId="350" xr:uid="{00000000-0005-0000-0000-00005D010000}"/>
    <cellStyle name="_April 17-22_February'01-02-2013_BD All Fac Weekly Eff% Status (30th Mar -5th Apr) ' 13" xfId="351" xr:uid="{00000000-0005-0000-0000-00005E010000}"/>
    <cellStyle name="_April 17-22_January '01-01-2014" xfId="352" xr:uid="{00000000-0005-0000-0000-00005F010000}"/>
    <cellStyle name="_April 17-22_January'01-01-2013" xfId="353" xr:uid="{00000000-0005-0000-0000-000060010000}"/>
    <cellStyle name="_April 17-22_January'01-01-2013_BD All Fac Weekly Eff% Status (20th Oct- 24th Oct ) ' 13" xfId="354" xr:uid="{00000000-0005-0000-0000-000061010000}"/>
    <cellStyle name="_April 17-22_January'01-01-2013_BD All Fac Weekly Eff% Status (30th Mar -5th Apr) ' 13" xfId="355" xr:uid="{00000000-0005-0000-0000-000062010000}"/>
    <cellStyle name="_April 17-22_JULY '01-07-2013" xfId="356" xr:uid="{00000000-0005-0000-0000-000063010000}"/>
    <cellStyle name="_April 17-22_JULY '01-07-2013_BD All Fac Weekly Eff% Status (20th Oct- 24th Oct ) ' 13" xfId="357" xr:uid="{00000000-0005-0000-0000-000064010000}"/>
    <cellStyle name="_April 17-22_JUNE '01-06-2013" xfId="358" xr:uid="{00000000-0005-0000-0000-000065010000}"/>
    <cellStyle name="_April 17-22_JUNE '01-06-2013_BD All Fac Weekly Eff% Status (20th Oct- 24th Oct ) ' 13" xfId="359" xr:uid="{00000000-0005-0000-0000-000066010000}"/>
    <cellStyle name="_April 17-22_JUNE '29-04 JULY" xfId="360" xr:uid="{00000000-0005-0000-0000-000067010000}"/>
    <cellStyle name="_April 17-22_Lsl Daily Prdn Report Mar'121" xfId="361" xr:uid="{00000000-0005-0000-0000-000068010000}"/>
    <cellStyle name="_April 17-22_March'" xfId="362" xr:uid="{00000000-0005-0000-0000-000069010000}"/>
    <cellStyle name="_April 17-22_March '01-03-20146" xfId="363" xr:uid="{00000000-0005-0000-0000-00006A010000}"/>
    <cellStyle name="_April 17-22_March'_BD All Fac Weekly Eff% Status (20th Oct- 24th Oct ) ' 13" xfId="364" xr:uid="{00000000-0005-0000-0000-00006B010000}"/>
    <cellStyle name="_April 17-22_March'01-02-2013" xfId="365" xr:uid="{00000000-0005-0000-0000-00006C010000}"/>
    <cellStyle name="_April 17-22_March'01-02-2013_BD All Fac Weekly Eff% Status (20th Oct- 24th Oct ) ' 13" xfId="366" xr:uid="{00000000-0005-0000-0000-00006D010000}"/>
    <cellStyle name="_April 17-22_March'01-02-2013_BD All Fac Weekly Eff% Status (30th Mar -5th Apr) ' 13" xfId="367" xr:uid="{00000000-0005-0000-0000-00006E010000}"/>
    <cellStyle name="_April 17-22_May '01-05-2013" xfId="368" xr:uid="{00000000-0005-0000-0000-00006F010000}"/>
    <cellStyle name="_April 17-22_May '01-05-2013_BD All Fac Weekly Eff% Status (20th Oct- 24th Oct ) ' 13" xfId="369" xr:uid="{00000000-0005-0000-0000-000070010000}"/>
    <cellStyle name="_April 17-22_New Format December-2012" xfId="370" xr:uid="{00000000-0005-0000-0000-000071010000}"/>
    <cellStyle name="_April 17-22_New Format Feb-2013" xfId="371" xr:uid="{00000000-0005-0000-0000-000072010000}"/>
    <cellStyle name="_April 17-22_New Format Feb-2013_BD All Fac Weekly Eff% Status (20th Oct- 24th Oct ) ' 13" xfId="372" xr:uid="{00000000-0005-0000-0000-000073010000}"/>
    <cellStyle name="_April 17-22_New Format Feb-2013_BD All Fac Weekly Eff% Status (30th Mar -5th Apr) ' 13" xfId="373" xr:uid="{00000000-0005-0000-0000-000074010000}"/>
    <cellStyle name="_April 17-22_New Format February-2013" xfId="374" xr:uid="{00000000-0005-0000-0000-000075010000}"/>
    <cellStyle name="_April 17-22_New Format February-2013_BD All Fac Weekly Eff% Status (20th Oct- 24th Oct ) ' 13" xfId="375" xr:uid="{00000000-0005-0000-0000-000076010000}"/>
    <cellStyle name="_April 17-22_New Format February-2013_BD All Fac Weekly Eff% Status (30th Mar -5th Apr) ' 13" xfId="376" xr:uid="{00000000-0005-0000-0000-000077010000}"/>
    <cellStyle name="_April 17-22_New Format November-2012" xfId="377" xr:uid="{00000000-0005-0000-0000-000078010000}"/>
    <cellStyle name="_April 17-22_November '01-10-2013" xfId="378" xr:uid="{00000000-0005-0000-0000-000079010000}"/>
    <cellStyle name="_April 17-22_October '01-10-2013" xfId="379" xr:uid="{00000000-0005-0000-0000-00007A010000}"/>
    <cellStyle name="_April 17-22_Sep-oct" xfId="380" xr:uid="{00000000-0005-0000-0000-00007B010000}"/>
    <cellStyle name="_April 17-22_September '01-09-2013" xfId="381" xr:uid="{00000000-0005-0000-0000-00007C010000}"/>
    <cellStyle name="_April 17-22_Tsl Daily Production Report Nov '127." xfId="382" xr:uid="{00000000-0005-0000-0000-00007D010000}"/>
    <cellStyle name="_April 17-22_Weekly prdn" xfId="383" xr:uid="{00000000-0005-0000-0000-00007E010000}"/>
    <cellStyle name="_April 17-22_Weekly Status" xfId="384" xr:uid="{00000000-0005-0000-0000-00007F010000}"/>
    <cellStyle name="_April 17-22_Ycl Weekly Status (24th Nov 29th Nov)'12" xfId="385" xr:uid="{00000000-0005-0000-0000-000080010000}"/>
    <cellStyle name="_April 17-22_Ysl Weekly Status-201228" xfId="386" xr:uid="{00000000-0005-0000-0000-000081010000}"/>
    <cellStyle name="_April 17-22_Ysl Weekly Status-201229" xfId="387" xr:uid="{00000000-0005-0000-0000-000082010000}"/>
    <cellStyle name="_April 17-22_Ysl Weekly Status-201230" xfId="388" xr:uid="{00000000-0005-0000-0000-000083010000}"/>
    <cellStyle name="_April 17-22_Ysl Weekly Status-201231" xfId="389" xr:uid="{00000000-0005-0000-0000-000084010000}"/>
    <cellStyle name="_April 17-22_Ysl Weekly Status-201233" xfId="390" xr:uid="{00000000-0005-0000-0000-000085010000}"/>
    <cellStyle name="_April 17-22_Ysl Weekly Status-201234" xfId="391" xr:uid="{00000000-0005-0000-0000-000086010000}"/>
    <cellStyle name="_April 17-22_Ysl Weekly Status-201235" xfId="392" xr:uid="{00000000-0005-0000-0000-000087010000}"/>
    <cellStyle name="_April 17-22_Ysl Weekly Status-201236" xfId="393" xr:uid="{00000000-0005-0000-0000-000088010000}"/>
    <cellStyle name="_April 17-22_Ysl Weekly Status-201237" xfId="394" xr:uid="{00000000-0005-0000-0000-000089010000}"/>
    <cellStyle name="_April 17-22_Ysl Weekly Status-201238" xfId="395" xr:uid="{00000000-0005-0000-0000-00008A010000}"/>
    <cellStyle name="_April 17-22_Ysl Weekly Status-201239" xfId="396" xr:uid="{00000000-0005-0000-0000-00008B010000}"/>
    <cellStyle name="_April 17-22_Ysl Weekly Status-201240" xfId="397" xr:uid="{00000000-0005-0000-0000-00008C010000}"/>
    <cellStyle name="_April 17-22_Ysl Weekly Status-201241" xfId="398" xr:uid="{00000000-0005-0000-0000-00008D010000}"/>
    <cellStyle name="_April 17-22_Ysl Weekly Status-2013" xfId="399" xr:uid="{00000000-0005-0000-0000-00008E010000}"/>
    <cellStyle name="_April 17-22_Ysl Weekly Status-20131" xfId="400" xr:uid="{00000000-0005-0000-0000-00008F010000}"/>
    <cellStyle name="_April 17-22_Ysl Weekly Status-20132" xfId="401" xr:uid="{00000000-0005-0000-0000-000090010000}"/>
    <cellStyle name="_April 17-22_Ysl Weekly Status-20133" xfId="402" xr:uid="{00000000-0005-0000-0000-000091010000}"/>
    <cellStyle name="_April 17-22_Ysl Weekly Status-20134" xfId="403" xr:uid="{00000000-0005-0000-0000-000092010000}"/>
    <cellStyle name="_BD All Fac Weekly Eff% Status (10th Dec to 16th Dec) ' 11" xfId="404" xr:uid="{00000000-0005-0000-0000-000093010000}"/>
    <cellStyle name="_BD All Fac Weekly Eff% Status (12th Nov to 18th Nov) ' 111" xfId="405" xr:uid="{00000000-0005-0000-0000-000094010000}"/>
    <cellStyle name="_BD All Fac Weekly Eff% Status (14th Jan to 20th Jan) ' 12" xfId="406" xr:uid="{00000000-0005-0000-0000-000095010000}"/>
    <cellStyle name="_BD All Fac Weekly Eff% Status (15th Oct to 21st Oct) ' 11" xfId="407" xr:uid="{00000000-0005-0000-0000-000096010000}"/>
    <cellStyle name="_BD All Fac Weekly Eff% Status (17th Dec to 23rd Dec) ' 11" xfId="408" xr:uid="{00000000-0005-0000-0000-000097010000}"/>
    <cellStyle name="_BD All Fac Weekly Eff% Status (19th Nov to 25th Nov) ' 11" xfId="409" xr:uid="{00000000-0005-0000-0000-000098010000}"/>
    <cellStyle name="_BD All Fac Weekly Eff% Status (1st Oct to 7th Oct) ' 11" xfId="410" xr:uid="{00000000-0005-0000-0000-000099010000}"/>
    <cellStyle name="_BD All Fac Weekly Eff% Status (22nd Oct to 28th Oct) ' 11" xfId="411" xr:uid="{00000000-0005-0000-0000-00009A010000}"/>
    <cellStyle name="_BD All Fac Weekly Eff% Status (26th Nov to 2nd Dec) ' 11" xfId="412" xr:uid="{00000000-0005-0000-0000-00009B010000}"/>
    <cellStyle name="_BD All Fac Weekly Eff% Status (29th Oct to 4th Nov) ' 111" xfId="413" xr:uid="{00000000-0005-0000-0000-00009C010000}"/>
    <cellStyle name="_BD All Fac Weekly Eff% Status (31st Dec to 6th Jan) ' 12" xfId="414" xr:uid="{00000000-0005-0000-0000-00009D010000}"/>
    <cellStyle name="_BD All Fac Weekly Eff% Status (3rd Dec to 9th Dec) ' 11" xfId="415" xr:uid="{00000000-0005-0000-0000-00009E010000}"/>
    <cellStyle name="_BD All Fac Weekly Eff% Status (7th Jan to 13th Jan) ' 12" xfId="416" xr:uid="{00000000-0005-0000-0000-00009F010000}"/>
    <cellStyle name="_BD All Fac Weekly Eff% Status (8th Oct to 14th Oct) ' 11" xfId="417" xr:uid="{00000000-0005-0000-0000-0000A0010000}"/>
    <cellStyle name="_BD All Fac Weekly Status (10th Sep to 16th Sep) ' 11" xfId="418" xr:uid="{00000000-0005-0000-0000-0000A1010000}"/>
    <cellStyle name="_BD All Fac Weekly Status (10th Sep to 16th Sep) ' 11_27- JULY- 01 AUG" xfId="419" xr:uid="{00000000-0005-0000-0000-0000A2010000}"/>
    <cellStyle name="_BD All Fac Weekly Status (10th Sep to 16th Sep) ' 11_April'01-04-2013" xfId="420" xr:uid="{00000000-0005-0000-0000-0000A3010000}"/>
    <cellStyle name="_BD All Fac Weekly Status (10th Sep to 16th Sep) ' 11_aPRIL-29-02 mAY" xfId="421" xr:uid="{00000000-0005-0000-0000-0000A4010000}"/>
    <cellStyle name="_BD All Fac Weekly Status (10th Sep to 16th Sep) ' 11_August '01-08-2013" xfId="422" xr:uid="{00000000-0005-0000-0000-0000A5010000}"/>
    <cellStyle name="_BD All Fac Weekly Status (10th Sep to 16th Sep) ' 11_BD All Fac Weekly Eff% Status (11th Aug to 17th Aug) ' 12" xfId="423" xr:uid="{00000000-0005-0000-0000-0000A6010000}"/>
    <cellStyle name="_BD All Fac Weekly Status (10th Sep to 16th Sep) ' 11_BD All Fac Weekly Eff% Status (14th July to 20th July) ' 12" xfId="424" xr:uid="{00000000-0005-0000-0000-0000A7010000}"/>
    <cellStyle name="_BD All Fac Weekly Status (10th Sep to 16th Sep) ' 11_BD All Fac Weekly Eff% Status (22nd Sep to 28th Sep) ' 12" xfId="425" xr:uid="{00000000-0005-0000-0000-0000A8010000}"/>
    <cellStyle name="_BD All Fac Weekly Status (10th Sep to 16th Sep) ' 11_BD All Fac Weekly Eff% Status (2nd June to 8th June) ' 12" xfId="426" xr:uid="{00000000-0005-0000-0000-0000A9010000}"/>
    <cellStyle name="_BD All Fac Weekly Status (10th Sep to 16th Sep) ' 11_BD All Fac Weekly Eff% Status (30th Mar -5th Apr) ' 13" xfId="427" xr:uid="{00000000-0005-0000-0000-0000AA010000}"/>
    <cellStyle name="_BD All Fac Weekly Status (10th Sep to 16th Sep) ' 11_BD All Fac Weekly Eff% Status (3rd Nov to 9th Nov) ' 12" xfId="428" xr:uid="{00000000-0005-0000-0000-0000AB010000}"/>
    <cellStyle name="_BD All Fac Weekly Status (10th Sep to 16th Sep) ' 11_BD All Fac Weekly Eff% Status (6th Oct to 12th Oct) ' 12" xfId="429" xr:uid="{00000000-0005-0000-0000-0000AC010000}"/>
    <cellStyle name="_BD All Fac Weekly Status (10th Sep to 16th Sep) ' 11_December'01-12-201213 Anima" xfId="430" xr:uid="{00000000-0005-0000-0000-0000AD010000}"/>
    <cellStyle name="_BD All Fac Weekly Status (10th Sep to 16th Sep) ' 11_February'01-02-2013" xfId="431" xr:uid="{00000000-0005-0000-0000-0000AE010000}"/>
    <cellStyle name="_BD All Fac Weekly Status (10th Sep to 16th Sep) ' 11_January'01-01-2013" xfId="432" xr:uid="{00000000-0005-0000-0000-0000AF010000}"/>
    <cellStyle name="_BD All Fac Weekly Status (10th Sep to 16th Sep) ' 11_JULY '01-07-2013" xfId="433" xr:uid="{00000000-0005-0000-0000-0000B0010000}"/>
    <cellStyle name="_BD All Fac Weekly Status (10th Sep to 16th Sep) ' 11_JUNE '01-06-2013" xfId="434" xr:uid="{00000000-0005-0000-0000-0000B1010000}"/>
    <cellStyle name="_BD All Fac Weekly Status (10th Sep to 16th Sep) ' 11_JUNE '29-04 JULY" xfId="435" xr:uid="{00000000-0005-0000-0000-0000B2010000}"/>
    <cellStyle name="_BD All Fac Weekly Status (10th Sep to 16th Sep) ' 11_March'" xfId="436" xr:uid="{00000000-0005-0000-0000-0000B3010000}"/>
    <cellStyle name="_BD All Fac Weekly Status (10th Sep to 16th Sep) ' 11_March'01-02-2013" xfId="437" xr:uid="{00000000-0005-0000-0000-0000B4010000}"/>
    <cellStyle name="_BD All Fac Weekly Status (10th Sep to 16th Sep) ' 11_May '01-05-2013" xfId="438" xr:uid="{00000000-0005-0000-0000-0000B5010000}"/>
    <cellStyle name="_BD All Fac Weekly Status (10th Sep to 16th Sep) ' 11_October '01-10-2013" xfId="439" xr:uid="{00000000-0005-0000-0000-0000B6010000}"/>
    <cellStyle name="_BD All Fac Weekly Status (10th Sep to 16th Sep) ' 11_Sep-oct" xfId="440" xr:uid="{00000000-0005-0000-0000-0000B7010000}"/>
    <cellStyle name="_BD All Fac Weekly Status (10th Sep to 16th Sep) ' 11_September '01-09-2013" xfId="441" xr:uid="{00000000-0005-0000-0000-0000B8010000}"/>
    <cellStyle name="_BD All Fac Weekly Status (10th Sep to 16th Sep) ' 11_Weekly prdn" xfId="442" xr:uid="{00000000-0005-0000-0000-0000B9010000}"/>
    <cellStyle name="_BD All Fac Weekly Status (11th June to 17th June) ' 11" xfId="443" xr:uid="{00000000-0005-0000-0000-0000BA010000}"/>
    <cellStyle name="_BD All Fac Weekly Status (11th June to 17th June) ' 11_27- JULY- 01 AUG" xfId="444" xr:uid="{00000000-0005-0000-0000-0000BB010000}"/>
    <cellStyle name="_BD All Fac Weekly Status (11th June to 17th June) ' 11_April'01-04-2013" xfId="445" xr:uid="{00000000-0005-0000-0000-0000BC010000}"/>
    <cellStyle name="_BD All Fac Weekly Status (11th June to 17th June) ' 11_aPRIL-29-02 mAY" xfId="446" xr:uid="{00000000-0005-0000-0000-0000BD010000}"/>
    <cellStyle name="_BD All Fac Weekly Status (11th June to 17th June) ' 11_August '01-08-2013" xfId="447" xr:uid="{00000000-0005-0000-0000-0000BE010000}"/>
    <cellStyle name="_BD All Fac Weekly Status (11th June to 17th June) ' 11_BD All Fac Weekly Eff% Status (11th Aug to 17th Aug) ' 12" xfId="448" xr:uid="{00000000-0005-0000-0000-0000BF010000}"/>
    <cellStyle name="_BD All Fac Weekly Status (11th June to 17th June) ' 11_BD All Fac Weekly Eff% Status (14th July to 20th July) ' 12" xfId="449" xr:uid="{00000000-0005-0000-0000-0000C0010000}"/>
    <cellStyle name="_BD All Fac Weekly Status (11th June to 17th June) ' 11_BD All Fac Weekly Eff% Status (22nd Sep to 28th Sep) ' 12" xfId="450" xr:uid="{00000000-0005-0000-0000-0000C1010000}"/>
    <cellStyle name="_BD All Fac Weekly Status (11th June to 17th June) ' 11_BD All Fac Weekly Eff% Status (2nd June to 8th June) ' 12" xfId="451" xr:uid="{00000000-0005-0000-0000-0000C2010000}"/>
    <cellStyle name="_BD All Fac Weekly Status (11th June to 17th June) ' 11_BD All Fac Weekly Eff% Status (30th Mar -5th Apr) ' 13" xfId="452" xr:uid="{00000000-0005-0000-0000-0000C3010000}"/>
    <cellStyle name="_BD All Fac Weekly Status (11th June to 17th June) ' 11_BD All Fac Weekly Eff% Status (3rd Nov to 9th Nov) ' 12" xfId="453" xr:uid="{00000000-0005-0000-0000-0000C4010000}"/>
    <cellStyle name="_BD All Fac Weekly Status (11th June to 17th June) ' 11_BD All Fac Weekly Eff% Status (6th Oct to 12th Oct) ' 12" xfId="454" xr:uid="{00000000-0005-0000-0000-0000C5010000}"/>
    <cellStyle name="_BD All Fac Weekly Status (11th June to 17th June) ' 11_December'01-12-201213 Anima" xfId="455" xr:uid="{00000000-0005-0000-0000-0000C6010000}"/>
    <cellStyle name="_BD All Fac Weekly Status (11th June to 17th June) ' 11_February'01-02-2013" xfId="456" xr:uid="{00000000-0005-0000-0000-0000C7010000}"/>
    <cellStyle name="_BD All Fac Weekly Status (11th June to 17th June) ' 11_January'01-01-2013" xfId="457" xr:uid="{00000000-0005-0000-0000-0000C8010000}"/>
    <cellStyle name="_BD All Fac Weekly Status (11th June to 17th June) ' 11_JULY '01-07-2013" xfId="458" xr:uid="{00000000-0005-0000-0000-0000C9010000}"/>
    <cellStyle name="_BD All Fac Weekly Status (11th June to 17th June) ' 11_JUNE '01-06-2013" xfId="459" xr:uid="{00000000-0005-0000-0000-0000CA010000}"/>
    <cellStyle name="_BD All Fac Weekly Status (11th June to 17th June) ' 11_JUNE '29-04 JULY" xfId="460" xr:uid="{00000000-0005-0000-0000-0000CB010000}"/>
    <cellStyle name="_BD All Fac Weekly Status (11th June to 17th June) ' 11_March'" xfId="461" xr:uid="{00000000-0005-0000-0000-0000CC010000}"/>
    <cellStyle name="_BD All Fac Weekly Status (11th June to 17th June) ' 11_March'01-02-2013" xfId="462" xr:uid="{00000000-0005-0000-0000-0000CD010000}"/>
    <cellStyle name="_BD All Fac Weekly Status (11th June to 17th June) ' 11_May '01-05-2013" xfId="463" xr:uid="{00000000-0005-0000-0000-0000CE010000}"/>
    <cellStyle name="_BD All Fac Weekly Status (11th June to 17th June) ' 11_October '01-10-2013" xfId="464" xr:uid="{00000000-0005-0000-0000-0000CF010000}"/>
    <cellStyle name="_BD All Fac Weekly Status (11th June to 17th June) ' 11_Sep-oct" xfId="465" xr:uid="{00000000-0005-0000-0000-0000D0010000}"/>
    <cellStyle name="_BD All Fac Weekly Status (11th June to 17th June) ' 11_September '01-09-2013" xfId="466" xr:uid="{00000000-0005-0000-0000-0000D1010000}"/>
    <cellStyle name="_BD All Fac Weekly Status (11th June to 17th June) ' 11_Weekly prdn" xfId="467" xr:uid="{00000000-0005-0000-0000-0000D2010000}"/>
    <cellStyle name="_BD All Fac Weekly Status (13th August to 19th August) ' 11" xfId="468" xr:uid="{00000000-0005-0000-0000-0000D3010000}"/>
    <cellStyle name="_BD All Fac Weekly Status (13th August to 19th August) ' 11_27- JULY- 01 AUG" xfId="469" xr:uid="{00000000-0005-0000-0000-0000D4010000}"/>
    <cellStyle name="_BD All Fac Weekly Status (13th August to 19th August) ' 11_April'01-04-2013" xfId="470" xr:uid="{00000000-0005-0000-0000-0000D5010000}"/>
    <cellStyle name="_BD All Fac Weekly Status (13th August to 19th August) ' 11_aPRIL-29-02 mAY" xfId="471" xr:uid="{00000000-0005-0000-0000-0000D6010000}"/>
    <cellStyle name="_BD All Fac Weekly Status (13th August to 19th August) ' 11_August '01-08-2013" xfId="472" xr:uid="{00000000-0005-0000-0000-0000D7010000}"/>
    <cellStyle name="_BD All Fac Weekly Status (13th August to 19th August) ' 11_BD All Fac Weekly Eff% Status (11th Aug to 17th Aug) ' 12" xfId="473" xr:uid="{00000000-0005-0000-0000-0000D8010000}"/>
    <cellStyle name="_BD All Fac Weekly Status (13th August to 19th August) ' 11_BD All Fac Weekly Eff% Status (14th July to 20th July) ' 12" xfId="474" xr:uid="{00000000-0005-0000-0000-0000D9010000}"/>
    <cellStyle name="_BD All Fac Weekly Status (13th August to 19th August) ' 11_BD All Fac Weekly Eff% Status (22nd Sep to 28th Sep) ' 12" xfId="475" xr:uid="{00000000-0005-0000-0000-0000DA010000}"/>
    <cellStyle name="_BD All Fac Weekly Status (13th August to 19th August) ' 11_BD All Fac Weekly Eff% Status (2nd June to 8th June) ' 12" xfId="476" xr:uid="{00000000-0005-0000-0000-0000DB010000}"/>
    <cellStyle name="_BD All Fac Weekly Status (13th August to 19th August) ' 11_BD All Fac Weekly Eff% Status (30th Mar -5th Apr) ' 13" xfId="477" xr:uid="{00000000-0005-0000-0000-0000DC010000}"/>
    <cellStyle name="_BD All Fac Weekly Status (13th August to 19th August) ' 11_BD All Fac Weekly Eff% Status (3rd Nov to 9th Nov) ' 12" xfId="478" xr:uid="{00000000-0005-0000-0000-0000DD010000}"/>
    <cellStyle name="_BD All Fac Weekly Status (13th August to 19th August) ' 11_BD All Fac Weekly Eff% Status (6th Oct to 12th Oct) ' 12" xfId="479" xr:uid="{00000000-0005-0000-0000-0000DE010000}"/>
    <cellStyle name="_BD All Fac Weekly Status (13th August to 19th August) ' 11_December'01-12-201213 Anima" xfId="480" xr:uid="{00000000-0005-0000-0000-0000DF010000}"/>
    <cellStyle name="_BD All Fac Weekly Status (13th August to 19th August) ' 11_February'01-02-2013" xfId="481" xr:uid="{00000000-0005-0000-0000-0000E0010000}"/>
    <cellStyle name="_BD All Fac Weekly Status (13th August to 19th August) ' 11_January'01-01-2013" xfId="482" xr:uid="{00000000-0005-0000-0000-0000E1010000}"/>
    <cellStyle name="_BD All Fac Weekly Status (13th August to 19th August) ' 11_JULY '01-07-2013" xfId="483" xr:uid="{00000000-0005-0000-0000-0000E2010000}"/>
    <cellStyle name="_BD All Fac Weekly Status (13th August to 19th August) ' 11_JUNE '01-06-2013" xfId="484" xr:uid="{00000000-0005-0000-0000-0000E3010000}"/>
    <cellStyle name="_BD All Fac Weekly Status (13th August to 19th August) ' 11_JUNE '29-04 JULY" xfId="485" xr:uid="{00000000-0005-0000-0000-0000E4010000}"/>
    <cellStyle name="_BD All Fac Weekly Status (13th August to 19th August) ' 11_March'" xfId="486" xr:uid="{00000000-0005-0000-0000-0000E5010000}"/>
    <cellStyle name="_BD All Fac Weekly Status (13th August to 19th August) ' 11_March'01-02-2013" xfId="487" xr:uid="{00000000-0005-0000-0000-0000E6010000}"/>
    <cellStyle name="_BD All Fac Weekly Status (13th August to 19th August) ' 11_May '01-05-2013" xfId="488" xr:uid="{00000000-0005-0000-0000-0000E7010000}"/>
    <cellStyle name="_BD All Fac Weekly Status (13th August to 19th August) ' 11_October '01-10-2013" xfId="489" xr:uid="{00000000-0005-0000-0000-0000E8010000}"/>
    <cellStyle name="_BD All Fac Weekly Status (13th August to 19th August) ' 11_Sep-oct" xfId="490" xr:uid="{00000000-0005-0000-0000-0000E9010000}"/>
    <cellStyle name="_BD All Fac Weekly Status (13th August to 19th August) ' 11_September '01-09-2013" xfId="491" xr:uid="{00000000-0005-0000-0000-0000EA010000}"/>
    <cellStyle name="_BD All Fac Weekly Status (13th August to 19th August) ' 11_Weekly prdn" xfId="492" xr:uid="{00000000-0005-0000-0000-0000EB010000}"/>
    <cellStyle name="_BD All Fac Weekly Status (14th May to 20th May) ' 11" xfId="493" xr:uid="{00000000-0005-0000-0000-0000EC010000}"/>
    <cellStyle name="_BD All Fac Weekly Status (14th May to 20th May) ' 11_27- JULY- 01 AUG" xfId="494" xr:uid="{00000000-0005-0000-0000-0000ED010000}"/>
    <cellStyle name="_BD All Fac Weekly Status (14th May to 20th May) ' 11_April'01-04-2013" xfId="495" xr:uid="{00000000-0005-0000-0000-0000EE010000}"/>
    <cellStyle name="_BD All Fac Weekly Status (14th May to 20th May) ' 11_aPRIL-29-02 mAY" xfId="496" xr:uid="{00000000-0005-0000-0000-0000EF010000}"/>
    <cellStyle name="_BD All Fac Weekly Status (14th May to 20th May) ' 11_August '01-08-2013" xfId="497" xr:uid="{00000000-0005-0000-0000-0000F0010000}"/>
    <cellStyle name="_BD All Fac Weekly Status (14th May to 20th May) ' 11_BD All Fac Weekly Eff% Status (11th Aug to 17th Aug) ' 12" xfId="498" xr:uid="{00000000-0005-0000-0000-0000F1010000}"/>
    <cellStyle name="_BD All Fac Weekly Status (14th May to 20th May) ' 11_BD All Fac Weekly Eff% Status (14th July to 20th July) ' 12" xfId="499" xr:uid="{00000000-0005-0000-0000-0000F2010000}"/>
    <cellStyle name="_BD All Fac Weekly Status (14th May to 20th May) ' 11_BD All Fac Weekly Eff% Status (22nd Sep to 28th Sep) ' 12" xfId="500" xr:uid="{00000000-0005-0000-0000-0000F3010000}"/>
    <cellStyle name="_BD All Fac Weekly Status (14th May to 20th May) ' 11_BD All Fac Weekly Eff% Status (2nd June to 8th June) ' 12" xfId="501" xr:uid="{00000000-0005-0000-0000-0000F4010000}"/>
    <cellStyle name="_BD All Fac Weekly Status (14th May to 20th May) ' 11_BD All Fac Weekly Eff% Status (30th Mar -5th Apr) ' 13" xfId="502" xr:uid="{00000000-0005-0000-0000-0000F5010000}"/>
    <cellStyle name="_BD All Fac Weekly Status (14th May to 20th May) ' 11_BD All Fac Weekly Eff% Status (3rd Nov to 9th Nov) ' 12" xfId="503" xr:uid="{00000000-0005-0000-0000-0000F6010000}"/>
    <cellStyle name="_BD All Fac Weekly Status (14th May to 20th May) ' 11_BD All Fac Weekly Eff% Status (6th Oct to 12th Oct) ' 12" xfId="504" xr:uid="{00000000-0005-0000-0000-0000F7010000}"/>
    <cellStyle name="_BD All Fac Weekly Status (14th May to 20th May) ' 11_December'01-12-201213 Anima" xfId="505" xr:uid="{00000000-0005-0000-0000-0000F8010000}"/>
    <cellStyle name="_BD All Fac Weekly Status (14th May to 20th May) ' 11_February'01-02-2013" xfId="506" xr:uid="{00000000-0005-0000-0000-0000F9010000}"/>
    <cellStyle name="_BD All Fac Weekly Status (14th May to 20th May) ' 11_January'01-01-2013" xfId="507" xr:uid="{00000000-0005-0000-0000-0000FA010000}"/>
    <cellStyle name="_BD All Fac Weekly Status (14th May to 20th May) ' 11_JULY '01-07-2013" xfId="508" xr:uid="{00000000-0005-0000-0000-0000FB010000}"/>
    <cellStyle name="_BD All Fac Weekly Status (14th May to 20th May) ' 11_JUNE '01-06-2013" xfId="509" xr:uid="{00000000-0005-0000-0000-0000FC010000}"/>
    <cellStyle name="_BD All Fac Weekly Status (14th May to 20th May) ' 11_JUNE '29-04 JULY" xfId="510" xr:uid="{00000000-0005-0000-0000-0000FD010000}"/>
    <cellStyle name="_BD All Fac Weekly Status (14th May to 20th May) ' 11_March'" xfId="511" xr:uid="{00000000-0005-0000-0000-0000FE010000}"/>
    <cellStyle name="_BD All Fac Weekly Status (14th May to 20th May) ' 11_March'01-02-2013" xfId="512" xr:uid="{00000000-0005-0000-0000-0000FF010000}"/>
    <cellStyle name="_BD All Fac Weekly Status (14th May to 20th May) ' 11_May '01-05-2013" xfId="513" xr:uid="{00000000-0005-0000-0000-000000020000}"/>
    <cellStyle name="_BD All Fac Weekly Status (14th May to 20th May) ' 11_October '01-10-2013" xfId="514" xr:uid="{00000000-0005-0000-0000-000001020000}"/>
    <cellStyle name="_BD All Fac Weekly Status (14th May to 20th May) ' 11_Sep-oct" xfId="515" xr:uid="{00000000-0005-0000-0000-000002020000}"/>
    <cellStyle name="_BD All Fac Weekly Status (14th May to 20th May) ' 11_September '01-09-2013" xfId="516" xr:uid="{00000000-0005-0000-0000-000003020000}"/>
    <cellStyle name="_BD All Fac Weekly Status (14th May to 20th May) ' 11_Weekly prdn" xfId="517" xr:uid="{00000000-0005-0000-0000-000004020000}"/>
    <cellStyle name="_BD All Fac Weekly Status (16th Jan to 22nd Jan) ' 10" xfId="518" xr:uid="{00000000-0005-0000-0000-000005020000}"/>
    <cellStyle name="_BD All Fac Weekly Status (16th Jan to 22nd Jan) ' 10_27- JULY- 01 AUG" xfId="519" xr:uid="{00000000-0005-0000-0000-000006020000}"/>
    <cellStyle name="_BD All Fac Weekly Status (16th Jan to 22nd Jan) ' 10_April'01-04-2013" xfId="520" xr:uid="{00000000-0005-0000-0000-000007020000}"/>
    <cellStyle name="_BD All Fac Weekly Status (16th Jan to 22nd Jan) ' 10_aPRIL-29-02 mAY" xfId="521" xr:uid="{00000000-0005-0000-0000-000008020000}"/>
    <cellStyle name="_BD All Fac Weekly Status (16th Jan to 22nd Jan) ' 10_August '01-08-2013" xfId="522" xr:uid="{00000000-0005-0000-0000-000009020000}"/>
    <cellStyle name="_BD All Fac Weekly Status (16th Jan to 22nd Jan) ' 10_BD All Fac Weekly Eff% Status (11th Aug to 17th Aug) ' 12" xfId="523" xr:uid="{00000000-0005-0000-0000-00000A020000}"/>
    <cellStyle name="_BD All Fac Weekly Status (16th Jan to 22nd Jan) ' 10_BD All Fac Weekly Eff% Status (14th July to 20th July) ' 12" xfId="524" xr:uid="{00000000-0005-0000-0000-00000B020000}"/>
    <cellStyle name="_BD All Fac Weekly Status (16th Jan to 22nd Jan) ' 10_BD All Fac Weekly Eff% Status (22nd Sep to 28th Sep) ' 12" xfId="525" xr:uid="{00000000-0005-0000-0000-00000C020000}"/>
    <cellStyle name="_BD All Fac Weekly Status (16th Jan to 22nd Jan) ' 10_BD All Fac Weekly Eff% Status (2nd June to 8th June) ' 12" xfId="526" xr:uid="{00000000-0005-0000-0000-00000D020000}"/>
    <cellStyle name="_BD All Fac Weekly Status (16th Jan to 22nd Jan) ' 10_BD All Fac Weekly Eff% Status (30th Mar -5th Apr) ' 13" xfId="527" xr:uid="{00000000-0005-0000-0000-00000E020000}"/>
    <cellStyle name="_BD All Fac Weekly Status (16th Jan to 22nd Jan) ' 10_BD All Fac Weekly Eff% Status (3rd Nov to 9th Nov) ' 12" xfId="528" xr:uid="{00000000-0005-0000-0000-00000F020000}"/>
    <cellStyle name="_BD All Fac Weekly Status (16th Jan to 22nd Jan) ' 10_BD All Fac Weekly Eff% Status (6th Oct to 12th Oct) ' 12" xfId="529" xr:uid="{00000000-0005-0000-0000-000010020000}"/>
    <cellStyle name="_BD All Fac Weekly Status (16th Jan to 22nd Jan) ' 10_December'01-12-201213 Anima" xfId="530" xr:uid="{00000000-0005-0000-0000-000011020000}"/>
    <cellStyle name="_BD All Fac Weekly Status (16th Jan to 22nd Jan) ' 10_February'01-02-2013" xfId="531" xr:uid="{00000000-0005-0000-0000-000012020000}"/>
    <cellStyle name="_BD All Fac Weekly Status (16th Jan to 22nd Jan) ' 10_January'01-01-2013" xfId="532" xr:uid="{00000000-0005-0000-0000-000013020000}"/>
    <cellStyle name="_BD All Fac Weekly Status (16th Jan to 22nd Jan) ' 10_JULY '01-07-2013" xfId="533" xr:uid="{00000000-0005-0000-0000-000014020000}"/>
    <cellStyle name="_BD All Fac Weekly Status (16th Jan to 22nd Jan) ' 10_JUNE '01-06-2013" xfId="534" xr:uid="{00000000-0005-0000-0000-000015020000}"/>
    <cellStyle name="_BD All Fac Weekly Status (16th Jan to 22nd Jan) ' 10_JUNE '29-04 JULY" xfId="535" xr:uid="{00000000-0005-0000-0000-000016020000}"/>
    <cellStyle name="_BD All Fac Weekly Status (16th Jan to 22nd Jan) ' 10_March'" xfId="536" xr:uid="{00000000-0005-0000-0000-000017020000}"/>
    <cellStyle name="_BD All Fac Weekly Status (16th Jan to 22nd Jan) ' 10_March'01-02-2013" xfId="537" xr:uid="{00000000-0005-0000-0000-000018020000}"/>
    <cellStyle name="_BD All Fac Weekly Status (16th Jan to 22nd Jan) ' 10_May '01-05-2013" xfId="538" xr:uid="{00000000-0005-0000-0000-000019020000}"/>
    <cellStyle name="_BD All Fac Weekly Status (16th Jan to 22nd Jan) ' 10_New Format December-2012" xfId="539" xr:uid="{00000000-0005-0000-0000-00001A020000}"/>
    <cellStyle name="_BD All Fac Weekly Status (16th Jan to 22nd Jan) ' 10_New Format Feb-2013" xfId="540" xr:uid="{00000000-0005-0000-0000-00001B020000}"/>
    <cellStyle name="_BD All Fac Weekly Status (16th Jan to 22nd Jan) ' 10_New Format February-2013" xfId="541" xr:uid="{00000000-0005-0000-0000-00001C020000}"/>
    <cellStyle name="_BD All Fac Weekly Status (16th Jan to 22nd Jan) ' 10_New Format November-2012" xfId="542" xr:uid="{00000000-0005-0000-0000-00001D020000}"/>
    <cellStyle name="_BD All Fac Weekly Status (16th Jan to 22nd Jan) ' 10_October '01-10-2013" xfId="543" xr:uid="{00000000-0005-0000-0000-00001E020000}"/>
    <cellStyle name="_BD All Fac Weekly Status (16th Jan to 22nd Jan) ' 10_Sep-oct" xfId="544" xr:uid="{00000000-0005-0000-0000-00001F020000}"/>
    <cellStyle name="_BD All Fac Weekly Status (16th Jan to 22nd Jan) ' 10_September '01-09-2013" xfId="545" xr:uid="{00000000-0005-0000-0000-000020020000}"/>
    <cellStyle name="_BD All Fac Weekly Status (16th Jan to 22nd Jan) ' 10_Weekly prdn" xfId="546" xr:uid="{00000000-0005-0000-0000-000021020000}"/>
    <cellStyle name="_BD All Fac Weekly Status (16th Jan to 22nd Jan) ' 10_Weekly Status" xfId="547" xr:uid="{00000000-0005-0000-0000-000022020000}"/>
    <cellStyle name="_BD All Fac Weekly Status (16th Jan to 22nd Jan) ' 10_Ysl Weekly Status-201228" xfId="548" xr:uid="{00000000-0005-0000-0000-000023020000}"/>
    <cellStyle name="_BD All Fac Weekly Status (16th Jan to 22nd Jan) ' 10_Ysl Weekly Status-201229" xfId="549" xr:uid="{00000000-0005-0000-0000-000024020000}"/>
    <cellStyle name="_BD All Fac Weekly Status (16th Jan to 22nd Jan) ' 10_Ysl Weekly Status-201230" xfId="550" xr:uid="{00000000-0005-0000-0000-000025020000}"/>
    <cellStyle name="_BD All Fac Weekly Status (16th Jan to 22nd Jan) ' 10_Ysl Weekly Status-201231" xfId="551" xr:uid="{00000000-0005-0000-0000-000026020000}"/>
    <cellStyle name="_BD All Fac Weekly Status (16th Jan to 22nd Jan) ' 10_Ysl Weekly Status-201233" xfId="552" xr:uid="{00000000-0005-0000-0000-000027020000}"/>
    <cellStyle name="_BD All Fac Weekly Status (16th Jan to 22nd Jan) ' 10_Ysl Weekly Status-201234" xfId="553" xr:uid="{00000000-0005-0000-0000-000028020000}"/>
    <cellStyle name="_BD All Fac Weekly Status (16th Jan to 22nd Jan) ' 10_Ysl Weekly Status-201235" xfId="554" xr:uid="{00000000-0005-0000-0000-000029020000}"/>
    <cellStyle name="_BD All Fac Weekly Status (16th Jan to 22nd Jan) ' 10_Ysl Weekly Status-201236" xfId="555" xr:uid="{00000000-0005-0000-0000-00002A020000}"/>
    <cellStyle name="_BD All Fac Weekly Status (16th Jan to 22nd Jan) ' 10_Ysl Weekly Status-201237" xfId="556" xr:uid="{00000000-0005-0000-0000-00002B020000}"/>
    <cellStyle name="_BD All Fac Weekly Status (16th Jan to 22nd Jan) ' 10_Ysl Weekly Status-201238" xfId="557" xr:uid="{00000000-0005-0000-0000-00002C020000}"/>
    <cellStyle name="_BD All Fac Weekly Status (16th Jan to 22nd Jan) ' 10_Ysl Weekly Status-201239" xfId="558" xr:uid="{00000000-0005-0000-0000-00002D020000}"/>
    <cellStyle name="_BD All Fac Weekly Status (16th Jan to 22nd Jan) ' 10_Ysl Weekly Status-201240" xfId="559" xr:uid="{00000000-0005-0000-0000-00002E020000}"/>
    <cellStyle name="_BD All Fac Weekly Status (16th Jan to 22nd Jan) ' 10_Ysl Weekly Status-201241" xfId="560" xr:uid="{00000000-0005-0000-0000-00002F020000}"/>
    <cellStyle name="_BD All Fac Weekly Status (16th Jan to 22nd Jan) ' 10_Ysl Weekly Status-2013" xfId="561" xr:uid="{00000000-0005-0000-0000-000030020000}"/>
    <cellStyle name="_BD All Fac Weekly Status (16th Jan to 22nd Jan) ' 10_Ysl Weekly Status-20131" xfId="562" xr:uid="{00000000-0005-0000-0000-000031020000}"/>
    <cellStyle name="_BD All Fac Weekly Status (16th Jan to 22nd Jan) ' 10_Ysl Weekly Status-20132" xfId="563" xr:uid="{00000000-0005-0000-0000-000032020000}"/>
    <cellStyle name="_BD All Fac Weekly Status (16th Jan to 22nd Jan) ' 10_Ysl Weekly Status-20133" xfId="564" xr:uid="{00000000-0005-0000-0000-000033020000}"/>
    <cellStyle name="_BD All Fac Weekly Status (16th Jan to 22nd Jan) ' 10_Ysl Weekly Status-20134" xfId="565" xr:uid="{00000000-0005-0000-0000-000034020000}"/>
    <cellStyle name="_BD All Fac Weekly Status (16th July to 22nd July) ' 11" xfId="566" xr:uid="{00000000-0005-0000-0000-000035020000}"/>
    <cellStyle name="_BD All Fac Weekly Status (16th July to 22nd July) ' 11_27- JULY- 01 AUG" xfId="567" xr:uid="{00000000-0005-0000-0000-000036020000}"/>
    <cellStyle name="_BD All Fac Weekly Status (16th July to 22nd July) ' 11_April'01-04-2013" xfId="568" xr:uid="{00000000-0005-0000-0000-000037020000}"/>
    <cellStyle name="_BD All Fac Weekly Status (16th July to 22nd July) ' 11_aPRIL-29-02 mAY" xfId="569" xr:uid="{00000000-0005-0000-0000-000038020000}"/>
    <cellStyle name="_BD All Fac Weekly Status (16th July to 22nd July) ' 11_August '01-08-2013" xfId="570" xr:uid="{00000000-0005-0000-0000-000039020000}"/>
    <cellStyle name="_BD All Fac Weekly Status (16th July to 22nd July) ' 11_BD All Fac Weekly Eff% Status (11th Aug to 17th Aug) ' 12" xfId="571" xr:uid="{00000000-0005-0000-0000-00003A020000}"/>
    <cellStyle name="_BD All Fac Weekly Status (16th July to 22nd July) ' 11_BD All Fac Weekly Eff% Status (14th July to 20th July) ' 12" xfId="572" xr:uid="{00000000-0005-0000-0000-00003B020000}"/>
    <cellStyle name="_BD All Fac Weekly Status (16th July to 22nd July) ' 11_BD All Fac Weekly Eff% Status (22nd Sep to 28th Sep) ' 12" xfId="573" xr:uid="{00000000-0005-0000-0000-00003C020000}"/>
    <cellStyle name="_BD All Fac Weekly Status (16th July to 22nd July) ' 11_BD All Fac Weekly Eff% Status (2nd June to 8th June) ' 12" xfId="574" xr:uid="{00000000-0005-0000-0000-00003D020000}"/>
    <cellStyle name="_BD All Fac Weekly Status (16th July to 22nd July) ' 11_BD All Fac Weekly Eff% Status (30th Mar -5th Apr) ' 13" xfId="575" xr:uid="{00000000-0005-0000-0000-00003E020000}"/>
    <cellStyle name="_BD All Fac Weekly Status (16th July to 22nd July) ' 11_BD All Fac Weekly Eff% Status (3rd Nov to 9th Nov) ' 12" xfId="576" xr:uid="{00000000-0005-0000-0000-00003F020000}"/>
    <cellStyle name="_BD All Fac Weekly Status (16th July to 22nd July) ' 11_BD All Fac Weekly Eff% Status (6th Oct to 12th Oct) ' 12" xfId="577" xr:uid="{00000000-0005-0000-0000-000040020000}"/>
    <cellStyle name="_BD All Fac Weekly Status (16th July to 22nd July) ' 11_December'01-12-201213 Anima" xfId="578" xr:uid="{00000000-0005-0000-0000-000041020000}"/>
    <cellStyle name="_BD All Fac Weekly Status (16th July to 22nd July) ' 11_February'01-02-2013" xfId="579" xr:uid="{00000000-0005-0000-0000-000042020000}"/>
    <cellStyle name="_BD All Fac Weekly Status (16th July to 22nd July) ' 11_January'01-01-2013" xfId="580" xr:uid="{00000000-0005-0000-0000-000043020000}"/>
    <cellStyle name="_BD All Fac Weekly Status (16th July to 22nd July) ' 11_JULY '01-07-2013" xfId="581" xr:uid="{00000000-0005-0000-0000-000044020000}"/>
    <cellStyle name="_BD All Fac Weekly Status (16th July to 22nd July) ' 11_JUNE '01-06-2013" xfId="582" xr:uid="{00000000-0005-0000-0000-000045020000}"/>
    <cellStyle name="_BD All Fac Weekly Status (16th July to 22nd July) ' 11_JUNE '29-04 JULY" xfId="583" xr:uid="{00000000-0005-0000-0000-000046020000}"/>
    <cellStyle name="_BD All Fac Weekly Status (16th July to 22nd July) ' 11_March'" xfId="584" xr:uid="{00000000-0005-0000-0000-000047020000}"/>
    <cellStyle name="_BD All Fac Weekly Status (16th July to 22nd July) ' 11_March'01-02-2013" xfId="585" xr:uid="{00000000-0005-0000-0000-000048020000}"/>
    <cellStyle name="_BD All Fac Weekly Status (16th July to 22nd July) ' 11_May '01-05-2013" xfId="586" xr:uid="{00000000-0005-0000-0000-000049020000}"/>
    <cellStyle name="_BD All Fac Weekly Status (16th July to 22nd July) ' 11_October '01-10-2013" xfId="587" xr:uid="{00000000-0005-0000-0000-00004A020000}"/>
    <cellStyle name="_BD All Fac Weekly Status (16th July to 22nd July) ' 11_Sep-oct" xfId="588" xr:uid="{00000000-0005-0000-0000-00004B020000}"/>
    <cellStyle name="_BD All Fac Weekly Status (16th July to 22nd July) ' 11_September '01-09-2013" xfId="589" xr:uid="{00000000-0005-0000-0000-00004C020000}"/>
    <cellStyle name="_BD All Fac Weekly Status (16th July to 22nd July) ' 11_Weekly prdn" xfId="590" xr:uid="{00000000-0005-0000-0000-00004D020000}"/>
    <cellStyle name="_BD All Fac Weekly Status (17th Sep to 23rd Sep) ' 11" xfId="591" xr:uid="{00000000-0005-0000-0000-00004E020000}"/>
    <cellStyle name="_BD All Fac Weekly Status (17th Sep to 23rd Sep) ' 11_27- JULY- 01 AUG" xfId="592" xr:uid="{00000000-0005-0000-0000-00004F020000}"/>
    <cellStyle name="_BD All Fac Weekly Status (17th Sep to 23rd Sep) ' 11_April'01-04-2013" xfId="593" xr:uid="{00000000-0005-0000-0000-000050020000}"/>
    <cellStyle name="_BD All Fac Weekly Status (17th Sep to 23rd Sep) ' 11_aPRIL-29-02 mAY" xfId="594" xr:uid="{00000000-0005-0000-0000-000051020000}"/>
    <cellStyle name="_BD All Fac Weekly Status (17th Sep to 23rd Sep) ' 11_August '01-08-2013" xfId="595" xr:uid="{00000000-0005-0000-0000-000052020000}"/>
    <cellStyle name="_BD All Fac Weekly Status (17th Sep to 23rd Sep) ' 11_BD All Fac Weekly Eff% Status (11th Aug to 17th Aug) ' 12" xfId="596" xr:uid="{00000000-0005-0000-0000-000053020000}"/>
    <cellStyle name="_BD All Fac Weekly Status (17th Sep to 23rd Sep) ' 11_BD All Fac Weekly Eff% Status (14th July to 20th July) ' 12" xfId="597" xr:uid="{00000000-0005-0000-0000-000054020000}"/>
    <cellStyle name="_BD All Fac Weekly Status (17th Sep to 23rd Sep) ' 11_BD All Fac Weekly Eff% Status (22nd Sep to 28th Sep) ' 12" xfId="598" xr:uid="{00000000-0005-0000-0000-000055020000}"/>
    <cellStyle name="_BD All Fac Weekly Status (17th Sep to 23rd Sep) ' 11_BD All Fac Weekly Eff% Status (2nd June to 8th June) ' 12" xfId="599" xr:uid="{00000000-0005-0000-0000-000056020000}"/>
    <cellStyle name="_BD All Fac Weekly Status (17th Sep to 23rd Sep) ' 11_BD All Fac Weekly Eff% Status (30th Mar -5th Apr) ' 13" xfId="600" xr:uid="{00000000-0005-0000-0000-000057020000}"/>
    <cellStyle name="_BD All Fac Weekly Status (17th Sep to 23rd Sep) ' 11_BD All Fac Weekly Eff% Status (3rd Nov to 9th Nov) ' 12" xfId="601" xr:uid="{00000000-0005-0000-0000-000058020000}"/>
    <cellStyle name="_BD All Fac Weekly Status (17th Sep to 23rd Sep) ' 11_BD All Fac Weekly Eff% Status (6th Oct to 12th Oct) ' 12" xfId="602" xr:uid="{00000000-0005-0000-0000-000059020000}"/>
    <cellStyle name="_BD All Fac Weekly Status (17th Sep to 23rd Sep) ' 11_December'01-12-201213 Anima" xfId="603" xr:uid="{00000000-0005-0000-0000-00005A020000}"/>
    <cellStyle name="_BD All Fac Weekly Status (17th Sep to 23rd Sep) ' 11_February'01-02-2013" xfId="604" xr:uid="{00000000-0005-0000-0000-00005B020000}"/>
    <cellStyle name="_BD All Fac Weekly Status (17th Sep to 23rd Sep) ' 11_January'01-01-2013" xfId="605" xr:uid="{00000000-0005-0000-0000-00005C020000}"/>
    <cellStyle name="_BD All Fac Weekly Status (17th Sep to 23rd Sep) ' 11_JULY '01-07-2013" xfId="606" xr:uid="{00000000-0005-0000-0000-00005D020000}"/>
    <cellStyle name="_BD All Fac Weekly Status (17th Sep to 23rd Sep) ' 11_JUNE '01-06-2013" xfId="607" xr:uid="{00000000-0005-0000-0000-00005E020000}"/>
    <cellStyle name="_BD All Fac Weekly Status (17th Sep to 23rd Sep) ' 11_JUNE '29-04 JULY" xfId="608" xr:uid="{00000000-0005-0000-0000-00005F020000}"/>
    <cellStyle name="_BD All Fac Weekly Status (17th Sep to 23rd Sep) ' 11_March'" xfId="609" xr:uid="{00000000-0005-0000-0000-000060020000}"/>
    <cellStyle name="_BD All Fac Weekly Status (17th Sep to 23rd Sep) ' 11_March'01-02-2013" xfId="610" xr:uid="{00000000-0005-0000-0000-000061020000}"/>
    <cellStyle name="_BD All Fac Weekly Status (17th Sep to 23rd Sep) ' 11_May '01-05-2013" xfId="611" xr:uid="{00000000-0005-0000-0000-000062020000}"/>
    <cellStyle name="_BD All Fac Weekly Status (17th Sep to 23rd Sep) ' 11_October '01-10-2013" xfId="612" xr:uid="{00000000-0005-0000-0000-000063020000}"/>
    <cellStyle name="_BD All Fac Weekly Status (17th Sep to 23rd Sep) ' 11_Sep-oct" xfId="613" xr:uid="{00000000-0005-0000-0000-000064020000}"/>
    <cellStyle name="_BD All Fac Weekly Status (17th Sep to 23rd Sep) ' 11_September '01-09-2013" xfId="614" xr:uid="{00000000-0005-0000-0000-000065020000}"/>
    <cellStyle name="_BD All Fac Weekly Status (17th Sep to 23rd Sep) ' 11_Weekly prdn" xfId="615" xr:uid="{00000000-0005-0000-0000-000066020000}"/>
    <cellStyle name="_BD All Fac Weekly Status (18th June to 24th June) ' 11" xfId="616" xr:uid="{00000000-0005-0000-0000-000067020000}"/>
    <cellStyle name="_BD All Fac Weekly Status (18th June to 24th June) ' 11_27- JULY- 01 AUG" xfId="617" xr:uid="{00000000-0005-0000-0000-000068020000}"/>
    <cellStyle name="_BD All Fac Weekly Status (18th June to 24th June) ' 11_April'01-04-2013" xfId="618" xr:uid="{00000000-0005-0000-0000-000069020000}"/>
    <cellStyle name="_BD All Fac Weekly Status (18th June to 24th June) ' 11_aPRIL-29-02 mAY" xfId="619" xr:uid="{00000000-0005-0000-0000-00006A020000}"/>
    <cellStyle name="_BD All Fac Weekly Status (18th June to 24th June) ' 11_August '01-08-2013" xfId="620" xr:uid="{00000000-0005-0000-0000-00006B020000}"/>
    <cellStyle name="_BD All Fac Weekly Status (18th June to 24th June) ' 11_BD All Fac Weekly Eff% Status (11th Aug to 17th Aug) ' 12" xfId="621" xr:uid="{00000000-0005-0000-0000-00006C020000}"/>
    <cellStyle name="_BD All Fac Weekly Status (18th June to 24th June) ' 11_BD All Fac Weekly Eff% Status (14th July to 20th July) ' 12" xfId="622" xr:uid="{00000000-0005-0000-0000-00006D020000}"/>
    <cellStyle name="_BD All Fac Weekly Status (18th June to 24th June) ' 11_BD All Fac Weekly Eff% Status (22nd Sep to 28th Sep) ' 12" xfId="623" xr:uid="{00000000-0005-0000-0000-00006E020000}"/>
    <cellStyle name="_BD All Fac Weekly Status (18th June to 24th June) ' 11_BD All Fac Weekly Eff% Status (2nd June to 8th June) ' 12" xfId="624" xr:uid="{00000000-0005-0000-0000-00006F020000}"/>
    <cellStyle name="_BD All Fac Weekly Status (18th June to 24th June) ' 11_BD All Fac Weekly Eff% Status (30th Mar -5th Apr) ' 13" xfId="625" xr:uid="{00000000-0005-0000-0000-000070020000}"/>
    <cellStyle name="_BD All Fac Weekly Status (18th June to 24th June) ' 11_BD All Fac Weekly Eff% Status (3rd Nov to 9th Nov) ' 12" xfId="626" xr:uid="{00000000-0005-0000-0000-000071020000}"/>
    <cellStyle name="_BD All Fac Weekly Status (18th June to 24th June) ' 11_BD All Fac Weekly Eff% Status (6th Oct to 12th Oct) ' 12" xfId="627" xr:uid="{00000000-0005-0000-0000-000072020000}"/>
    <cellStyle name="_BD All Fac Weekly Status (18th June to 24th June) ' 11_December'01-12-201213 Anima" xfId="628" xr:uid="{00000000-0005-0000-0000-000073020000}"/>
    <cellStyle name="_BD All Fac Weekly Status (18th June to 24th June) ' 11_February'01-02-2013" xfId="629" xr:uid="{00000000-0005-0000-0000-000074020000}"/>
    <cellStyle name="_BD All Fac Weekly Status (18th June to 24th June) ' 11_January'01-01-2013" xfId="630" xr:uid="{00000000-0005-0000-0000-000075020000}"/>
    <cellStyle name="_BD All Fac Weekly Status (18th June to 24th June) ' 11_JULY '01-07-2013" xfId="631" xr:uid="{00000000-0005-0000-0000-000076020000}"/>
    <cellStyle name="_BD All Fac Weekly Status (18th June to 24th June) ' 11_JUNE '01-06-2013" xfId="632" xr:uid="{00000000-0005-0000-0000-000077020000}"/>
    <cellStyle name="_BD All Fac Weekly Status (18th June to 24th June) ' 11_JUNE '29-04 JULY" xfId="633" xr:uid="{00000000-0005-0000-0000-000078020000}"/>
    <cellStyle name="_BD All Fac Weekly Status (18th June to 24th June) ' 11_March'" xfId="634" xr:uid="{00000000-0005-0000-0000-000079020000}"/>
    <cellStyle name="_BD All Fac Weekly Status (18th June to 24th June) ' 11_March'01-02-2013" xfId="635" xr:uid="{00000000-0005-0000-0000-00007A020000}"/>
    <cellStyle name="_BD All Fac Weekly Status (18th June to 24th June) ' 11_May '01-05-2013" xfId="636" xr:uid="{00000000-0005-0000-0000-00007B020000}"/>
    <cellStyle name="_BD All Fac Weekly Status (18th June to 24th June) ' 11_October '01-10-2013" xfId="637" xr:uid="{00000000-0005-0000-0000-00007C020000}"/>
    <cellStyle name="_BD All Fac Weekly Status (18th June to 24th June) ' 11_Sep-oct" xfId="638" xr:uid="{00000000-0005-0000-0000-00007D020000}"/>
    <cellStyle name="_BD All Fac Weekly Status (18th June to 24th June) ' 11_September '01-09-2013" xfId="639" xr:uid="{00000000-0005-0000-0000-00007E020000}"/>
    <cellStyle name="_BD All Fac Weekly Status (18th June to 24th June) ' 11_Weekly prdn" xfId="640" xr:uid="{00000000-0005-0000-0000-00007F020000}"/>
    <cellStyle name="_BD All Fac Weekly Status (19th June to 25th June) ' 10" xfId="641" xr:uid="{00000000-0005-0000-0000-000080020000}"/>
    <cellStyle name="_BD All Fac Weekly Status (19th June to 25th June) ' 10_27- JULY- 01 AUG" xfId="642" xr:uid="{00000000-0005-0000-0000-000081020000}"/>
    <cellStyle name="_BD All Fac Weekly Status (19th June to 25th June) ' 10_April'01-04-2013" xfId="643" xr:uid="{00000000-0005-0000-0000-000082020000}"/>
    <cellStyle name="_BD All Fac Weekly Status (19th June to 25th June) ' 10_aPRIL-29-02 mAY" xfId="644" xr:uid="{00000000-0005-0000-0000-000083020000}"/>
    <cellStyle name="_BD All Fac Weekly Status (19th June to 25th June) ' 10_August '01-08-2013" xfId="645" xr:uid="{00000000-0005-0000-0000-000084020000}"/>
    <cellStyle name="_BD All Fac Weekly Status (19th June to 25th June) ' 10_BD All Fac Weekly Eff% Status (11th Aug to 17th Aug) ' 12" xfId="646" xr:uid="{00000000-0005-0000-0000-000085020000}"/>
    <cellStyle name="_BD All Fac Weekly Status (19th June to 25th June) ' 10_BD All Fac Weekly Eff% Status (14th July to 20th July) ' 12" xfId="647" xr:uid="{00000000-0005-0000-0000-000086020000}"/>
    <cellStyle name="_BD All Fac Weekly Status (19th June to 25th June) ' 10_BD All Fac Weekly Eff% Status (22nd Sep to 28th Sep) ' 12" xfId="648" xr:uid="{00000000-0005-0000-0000-000087020000}"/>
    <cellStyle name="_BD All Fac Weekly Status (19th June to 25th June) ' 10_BD All Fac Weekly Eff% Status (2nd June to 8th June) ' 12" xfId="649" xr:uid="{00000000-0005-0000-0000-000088020000}"/>
    <cellStyle name="_BD All Fac Weekly Status (19th June to 25th June) ' 10_BD All Fac Weekly Eff% Status (30th Mar -5th Apr) ' 13" xfId="650" xr:uid="{00000000-0005-0000-0000-000089020000}"/>
    <cellStyle name="_BD All Fac Weekly Status (19th June to 25th June) ' 10_BD All Fac Weekly Eff% Status (3rd Nov to 9th Nov) ' 12" xfId="651" xr:uid="{00000000-0005-0000-0000-00008A020000}"/>
    <cellStyle name="_BD All Fac Weekly Status (19th June to 25th June) ' 10_BD All Fac Weekly Eff% Status (6th Oct to 12th Oct) ' 12" xfId="652" xr:uid="{00000000-0005-0000-0000-00008B020000}"/>
    <cellStyle name="_BD All Fac Weekly Status (19th June to 25th June) ' 10_December'01-12-201213 Anima" xfId="653" xr:uid="{00000000-0005-0000-0000-00008C020000}"/>
    <cellStyle name="_BD All Fac Weekly Status (19th June to 25th June) ' 10_February'01-02-2013" xfId="654" xr:uid="{00000000-0005-0000-0000-00008D020000}"/>
    <cellStyle name="_BD All Fac Weekly Status (19th June to 25th June) ' 10_January'01-01-2013" xfId="655" xr:uid="{00000000-0005-0000-0000-00008E020000}"/>
    <cellStyle name="_BD All Fac Weekly Status (19th June to 25th June) ' 10_JULY '01-07-2013" xfId="656" xr:uid="{00000000-0005-0000-0000-00008F020000}"/>
    <cellStyle name="_BD All Fac Weekly Status (19th June to 25th June) ' 10_JUNE '01-06-2013" xfId="657" xr:uid="{00000000-0005-0000-0000-000090020000}"/>
    <cellStyle name="_BD All Fac Weekly Status (19th June to 25th June) ' 10_JUNE '29-04 JULY" xfId="658" xr:uid="{00000000-0005-0000-0000-000091020000}"/>
    <cellStyle name="_BD All Fac Weekly Status (19th June to 25th June) ' 10_March'" xfId="659" xr:uid="{00000000-0005-0000-0000-000092020000}"/>
    <cellStyle name="_BD All Fac Weekly Status (19th June to 25th June) ' 10_March'01-02-2013" xfId="660" xr:uid="{00000000-0005-0000-0000-000093020000}"/>
    <cellStyle name="_BD All Fac Weekly Status (19th June to 25th June) ' 10_May '01-05-2013" xfId="661" xr:uid="{00000000-0005-0000-0000-000094020000}"/>
    <cellStyle name="_BD All Fac Weekly Status (19th June to 25th June) ' 10_October '01-10-2013" xfId="662" xr:uid="{00000000-0005-0000-0000-000095020000}"/>
    <cellStyle name="_BD All Fac Weekly Status (19th June to 25th June) ' 10_Sep-oct" xfId="663" xr:uid="{00000000-0005-0000-0000-000096020000}"/>
    <cellStyle name="_BD All Fac Weekly Status (19th June to 25th June) ' 10_September '01-09-2013" xfId="664" xr:uid="{00000000-0005-0000-0000-000097020000}"/>
    <cellStyle name="_BD All Fac Weekly Status (19th June to 25th June) ' 10_Weekly prdn" xfId="665" xr:uid="{00000000-0005-0000-0000-000098020000}"/>
    <cellStyle name="_BD All Fac Weekly Status (19th June to 25th June) ' 10_Weekly Status" xfId="666" xr:uid="{00000000-0005-0000-0000-000099020000}"/>
    <cellStyle name="_BD All Fac Weekly Status (19th June to 25th June) ' 10_Ysl Weekly Status-201228" xfId="667" xr:uid="{00000000-0005-0000-0000-00009A020000}"/>
    <cellStyle name="_BD All Fac Weekly Status (19th June to 25th June) ' 10_Ysl Weekly Status-201229" xfId="668" xr:uid="{00000000-0005-0000-0000-00009B020000}"/>
    <cellStyle name="_BD All Fac Weekly Status (19th June to 25th June) ' 10_Ysl Weekly Status-201230" xfId="669" xr:uid="{00000000-0005-0000-0000-00009C020000}"/>
    <cellStyle name="_BD All Fac Weekly Status (19th June to 25th June) ' 10_Ysl Weekly Status-201231" xfId="670" xr:uid="{00000000-0005-0000-0000-00009D020000}"/>
    <cellStyle name="_BD All Fac Weekly Status (19th June to 25th June) ' 10_Ysl Weekly Status-201233" xfId="671" xr:uid="{00000000-0005-0000-0000-00009E020000}"/>
    <cellStyle name="_BD All Fac Weekly Status (19th June to 25th June) ' 10_Ysl Weekly Status-201234" xfId="672" xr:uid="{00000000-0005-0000-0000-00009F020000}"/>
    <cellStyle name="_BD All Fac Weekly Status (19th June to 25th June) ' 10_Ysl Weekly Status-201235" xfId="673" xr:uid="{00000000-0005-0000-0000-0000A0020000}"/>
    <cellStyle name="_BD All Fac Weekly Status (19th June to 25th June) ' 10_Ysl Weekly Status-201236" xfId="674" xr:uid="{00000000-0005-0000-0000-0000A1020000}"/>
    <cellStyle name="_BD All Fac Weekly Status (19th June to 25th June) ' 10_Ysl Weekly Status-201237" xfId="675" xr:uid="{00000000-0005-0000-0000-0000A2020000}"/>
    <cellStyle name="_BD All Fac Weekly Status (19th June to 25th June) ' 10_Ysl Weekly Status-201238" xfId="676" xr:uid="{00000000-0005-0000-0000-0000A3020000}"/>
    <cellStyle name="_BD All Fac Weekly Status (19th June to 25th June) ' 10_Ysl Weekly Status-201239" xfId="677" xr:uid="{00000000-0005-0000-0000-0000A4020000}"/>
    <cellStyle name="_BD All Fac Weekly Status (19th June to 25th June) ' 10_Ysl Weekly Status-201240" xfId="678" xr:uid="{00000000-0005-0000-0000-0000A5020000}"/>
    <cellStyle name="_BD All Fac Weekly Status (19th June to 25th June) ' 10_Ysl Weekly Status-201241" xfId="679" xr:uid="{00000000-0005-0000-0000-0000A6020000}"/>
    <cellStyle name="_BD All Fac Weekly Status (19th June to 25th June) ' 10_Ysl Weekly Status-2013" xfId="680" xr:uid="{00000000-0005-0000-0000-0000A7020000}"/>
    <cellStyle name="_BD All Fac Weekly Status (19th June to 25th June) ' 10_Ysl Weekly Status-20131" xfId="681" xr:uid="{00000000-0005-0000-0000-0000A8020000}"/>
    <cellStyle name="_BD All Fac Weekly Status (19th June to 25th June) ' 10_Ysl Weekly Status-20132" xfId="682" xr:uid="{00000000-0005-0000-0000-0000A9020000}"/>
    <cellStyle name="_BD All Fac Weekly Status (19th June to 25th June) ' 10_Ysl Weekly Status-20133" xfId="683" xr:uid="{00000000-0005-0000-0000-0000AA020000}"/>
    <cellStyle name="_BD All Fac Weekly Status (19th June to 25th June) ' 10_Ysl Weekly Status-20134" xfId="684" xr:uid="{00000000-0005-0000-0000-0000AB020000}"/>
    <cellStyle name="_BD All Fac Weekly Status (20th August to 26th August) ' 111" xfId="685" xr:uid="{00000000-0005-0000-0000-0000AC020000}"/>
    <cellStyle name="_BD All Fac Weekly Status (20th August to 26th August) ' 111_27- JULY- 01 AUG" xfId="686" xr:uid="{00000000-0005-0000-0000-0000AD020000}"/>
    <cellStyle name="_BD All Fac Weekly Status (20th August to 26th August) ' 111_April'01-04-2013" xfId="687" xr:uid="{00000000-0005-0000-0000-0000AE020000}"/>
    <cellStyle name="_BD All Fac Weekly Status (20th August to 26th August) ' 111_aPRIL-29-02 mAY" xfId="688" xr:uid="{00000000-0005-0000-0000-0000AF020000}"/>
    <cellStyle name="_BD All Fac Weekly Status (20th August to 26th August) ' 111_August '01-08-2013" xfId="689" xr:uid="{00000000-0005-0000-0000-0000B0020000}"/>
    <cellStyle name="_BD All Fac Weekly Status (20th August to 26th August) ' 111_BD All Fac Weekly Eff% Status (11th Aug to 17th Aug) ' 12" xfId="690" xr:uid="{00000000-0005-0000-0000-0000B1020000}"/>
    <cellStyle name="_BD All Fac Weekly Status (20th August to 26th August) ' 111_BD All Fac Weekly Eff% Status (14th July to 20th July) ' 12" xfId="691" xr:uid="{00000000-0005-0000-0000-0000B2020000}"/>
    <cellStyle name="_BD All Fac Weekly Status (20th August to 26th August) ' 111_BD All Fac Weekly Eff% Status (22nd Sep to 28th Sep) ' 12" xfId="692" xr:uid="{00000000-0005-0000-0000-0000B3020000}"/>
    <cellStyle name="_BD All Fac Weekly Status (20th August to 26th August) ' 111_BD All Fac Weekly Eff% Status (2nd June to 8th June) ' 12" xfId="693" xr:uid="{00000000-0005-0000-0000-0000B4020000}"/>
    <cellStyle name="_BD All Fac Weekly Status (20th August to 26th August) ' 111_BD All Fac Weekly Eff% Status (30th Mar -5th Apr) ' 13" xfId="694" xr:uid="{00000000-0005-0000-0000-0000B5020000}"/>
    <cellStyle name="_BD All Fac Weekly Status (20th August to 26th August) ' 111_BD All Fac Weekly Eff% Status (3rd Nov to 9th Nov) ' 12" xfId="695" xr:uid="{00000000-0005-0000-0000-0000B6020000}"/>
    <cellStyle name="_BD All Fac Weekly Status (20th August to 26th August) ' 111_BD All Fac Weekly Eff% Status (6th Oct to 12th Oct) ' 12" xfId="696" xr:uid="{00000000-0005-0000-0000-0000B7020000}"/>
    <cellStyle name="_BD All Fac Weekly Status (20th August to 26th August) ' 111_December'01-12-201213 Anima" xfId="697" xr:uid="{00000000-0005-0000-0000-0000B8020000}"/>
    <cellStyle name="_BD All Fac Weekly Status (20th August to 26th August) ' 111_February'01-02-2013" xfId="698" xr:uid="{00000000-0005-0000-0000-0000B9020000}"/>
    <cellStyle name="_BD All Fac Weekly Status (20th August to 26th August) ' 111_January'01-01-2013" xfId="699" xr:uid="{00000000-0005-0000-0000-0000BA020000}"/>
    <cellStyle name="_BD All Fac Weekly Status (20th August to 26th August) ' 111_JULY '01-07-2013" xfId="700" xr:uid="{00000000-0005-0000-0000-0000BB020000}"/>
    <cellStyle name="_BD All Fac Weekly Status (20th August to 26th August) ' 111_JUNE '01-06-2013" xfId="701" xr:uid="{00000000-0005-0000-0000-0000BC020000}"/>
    <cellStyle name="_BD All Fac Weekly Status (20th August to 26th August) ' 111_JUNE '29-04 JULY" xfId="702" xr:uid="{00000000-0005-0000-0000-0000BD020000}"/>
    <cellStyle name="_BD All Fac Weekly Status (20th August to 26th August) ' 111_March'" xfId="703" xr:uid="{00000000-0005-0000-0000-0000BE020000}"/>
    <cellStyle name="_BD All Fac Weekly Status (20th August to 26th August) ' 111_March'01-02-2013" xfId="704" xr:uid="{00000000-0005-0000-0000-0000BF020000}"/>
    <cellStyle name="_BD All Fac Weekly Status (20th August to 26th August) ' 111_May '01-05-2013" xfId="705" xr:uid="{00000000-0005-0000-0000-0000C0020000}"/>
    <cellStyle name="_BD All Fac Weekly Status (20th August to 26th August) ' 111_October '01-10-2013" xfId="706" xr:uid="{00000000-0005-0000-0000-0000C1020000}"/>
    <cellStyle name="_BD All Fac Weekly Status (20th August to 26th August) ' 111_Sep-oct" xfId="707" xr:uid="{00000000-0005-0000-0000-0000C2020000}"/>
    <cellStyle name="_BD All Fac Weekly Status (20th August to 26th August) ' 111_September '01-09-2013" xfId="708" xr:uid="{00000000-0005-0000-0000-0000C3020000}"/>
    <cellStyle name="_BD All Fac Weekly Status (20th August to 26th August) ' 111_Weekly prdn" xfId="709" xr:uid="{00000000-0005-0000-0000-0000C4020000}"/>
    <cellStyle name="_BD All Fac Weekly Status (21st May to 27th May) ' 111" xfId="710" xr:uid="{00000000-0005-0000-0000-0000C5020000}"/>
    <cellStyle name="_BD All Fac Weekly Status (21st May to 27th May) ' 111_27- JULY- 01 AUG" xfId="711" xr:uid="{00000000-0005-0000-0000-0000C6020000}"/>
    <cellStyle name="_BD All Fac Weekly Status (21st May to 27th May) ' 111_April'01-04-2013" xfId="712" xr:uid="{00000000-0005-0000-0000-0000C7020000}"/>
    <cellStyle name="_BD All Fac Weekly Status (21st May to 27th May) ' 111_aPRIL-29-02 mAY" xfId="713" xr:uid="{00000000-0005-0000-0000-0000C8020000}"/>
    <cellStyle name="_BD All Fac Weekly Status (21st May to 27th May) ' 111_August '01-08-2013" xfId="714" xr:uid="{00000000-0005-0000-0000-0000C9020000}"/>
    <cellStyle name="_BD All Fac Weekly Status (21st May to 27th May) ' 111_BD All Fac Weekly Eff% Status (11th Aug to 17th Aug) ' 12" xfId="715" xr:uid="{00000000-0005-0000-0000-0000CA020000}"/>
    <cellStyle name="_BD All Fac Weekly Status (21st May to 27th May) ' 111_BD All Fac Weekly Eff% Status (14th July to 20th July) ' 12" xfId="716" xr:uid="{00000000-0005-0000-0000-0000CB020000}"/>
    <cellStyle name="_BD All Fac Weekly Status (21st May to 27th May) ' 111_BD All Fac Weekly Eff% Status (22nd Sep to 28th Sep) ' 12" xfId="717" xr:uid="{00000000-0005-0000-0000-0000CC020000}"/>
    <cellStyle name="_BD All Fac Weekly Status (21st May to 27th May) ' 111_BD All Fac Weekly Eff% Status (2nd June to 8th June) ' 12" xfId="718" xr:uid="{00000000-0005-0000-0000-0000CD020000}"/>
    <cellStyle name="_BD All Fac Weekly Status (21st May to 27th May) ' 111_BD All Fac Weekly Eff% Status (30th Mar -5th Apr) ' 13" xfId="719" xr:uid="{00000000-0005-0000-0000-0000CE020000}"/>
    <cellStyle name="_BD All Fac Weekly Status (21st May to 27th May) ' 111_BD All Fac Weekly Eff% Status (3rd Nov to 9th Nov) ' 12" xfId="720" xr:uid="{00000000-0005-0000-0000-0000CF020000}"/>
    <cellStyle name="_BD All Fac Weekly Status (21st May to 27th May) ' 111_BD All Fac Weekly Eff% Status (6th Oct to 12th Oct) ' 12" xfId="721" xr:uid="{00000000-0005-0000-0000-0000D0020000}"/>
    <cellStyle name="_BD All Fac Weekly Status (21st May to 27th May) ' 111_December'01-12-201213 Anima" xfId="722" xr:uid="{00000000-0005-0000-0000-0000D1020000}"/>
    <cellStyle name="_BD All Fac Weekly Status (21st May to 27th May) ' 111_February'01-02-2013" xfId="723" xr:uid="{00000000-0005-0000-0000-0000D2020000}"/>
    <cellStyle name="_BD All Fac Weekly Status (21st May to 27th May) ' 111_January'01-01-2013" xfId="724" xr:uid="{00000000-0005-0000-0000-0000D3020000}"/>
    <cellStyle name="_BD All Fac Weekly Status (21st May to 27th May) ' 111_JULY '01-07-2013" xfId="725" xr:uid="{00000000-0005-0000-0000-0000D4020000}"/>
    <cellStyle name="_BD All Fac Weekly Status (21st May to 27th May) ' 111_JUNE '01-06-2013" xfId="726" xr:uid="{00000000-0005-0000-0000-0000D5020000}"/>
    <cellStyle name="_BD All Fac Weekly Status (21st May to 27th May) ' 111_JUNE '29-04 JULY" xfId="727" xr:uid="{00000000-0005-0000-0000-0000D6020000}"/>
    <cellStyle name="_BD All Fac Weekly Status (21st May to 27th May) ' 111_March'" xfId="728" xr:uid="{00000000-0005-0000-0000-0000D7020000}"/>
    <cellStyle name="_BD All Fac Weekly Status (21st May to 27th May) ' 111_March'01-02-2013" xfId="729" xr:uid="{00000000-0005-0000-0000-0000D8020000}"/>
    <cellStyle name="_BD All Fac Weekly Status (21st May to 27th May) ' 111_May '01-05-2013" xfId="730" xr:uid="{00000000-0005-0000-0000-0000D9020000}"/>
    <cellStyle name="_BD All Fac Weekly Status (21st May to 27th May) ' 111_October '01-10-2013" xfId="731" xr:uid="{00000000-0005-0000-0000-0000DA020000}"/>
    <cellStyle name="_BD All Fac Weekly Status (21st May to 27th May) ' 111_Sep-oct" xfId="732" xr:uid="{00000000-0005-0000-0000-0000DB020000}"/>
    <cellStyle name="_BD All Fac Weekly Status (21st May to 27th May) ' 111_September '01-09-2013" xfId="733" xr:uid="{00000000-0005-0000-0000-0000DC020000}"/>
    <cellStyle name="_BD All Fac Weekly Status (21st May to 27th May) ' 111_Weekly prdn" xfId="734" xr:uid="{00000000-0005-0000-0000-0000DD020000}"/>
    <cellStyle name="_BD All Fac Weekly Status (23rd Jan to 29th Jan) ' 10" xfId="735" xr:uid="{00000000-0005-0000-0000-0000DE020000}"/>
    <cellStyle name="_BD All Fac Weekly Status (23rd Jan to 29th Jan) ' 10_27- JULY- 01 AUG" xfId="736" xr:uid="{00000000-0005-0000-0000-0000DF020000}"/>
    <cellStyle name="_BD All Fac Weekly Status (23rd Jan to 29th Jan) ' 10_April'01-04-2013" xfId="737" xr:uid="{00000000-0005-0000-0000-0000E0020000}"/>
    <cellStyle name="_BD All Fac Weekly Status (23rd Jan to 29th Jan) ' 10_aPRIL-29-02 mAY" xfId="738" xr:uid="{00000000-0005-0000-0000-0000E1020000}"/>
    <cellStyle name="_BD All Fac Weekly Status (23rd Jan to 29th Jan) ' 10_August '01-08-2013" xfId="739" xr:uid="{00000000-0005-0000-0000-0000E2020000}"/>
    <cellStyle name="_BD All Fac Weekly Status (23rd Jan to 29th Jan) ' 10_BD All Fac Weekly Eff% Status (11th Aug to 17th Aug) ' 12" xfId="740" xr:uid="{00000000-0005-0000-0000-0000E3020000}"/>
    <cellStyle name="_BD All Fac Weekly Status (23rd Jan to 29th Jan) ' 10_BD All Fac Weekly Eff% Status (14th July to 20th July) ' 12" xfId="741" xr:uid="{00000000-0005-0000-0000-0000E4020000}"/>
    <cellStyle name="_BD All Fac Weekly Status (23rd Jan to 29th Jan) ' 10_BD All Fac Weekly Eff% Status (22nd Sep to 28th Sep) ' 12" xfId="742" xr:uid="{00000000-0005-0000-0000-0000E5020000}"/>
    <cellStyle name="_BD All Fac Weekly Status (23rd Jan to 29th Jan) ' 10_BD All Fac Weekly Eff% Status (2nd June to 8th June) ' 12" xfId="743" xr:uid="{00000000-0005-0000-0000-0000E6020000}"/>
    <cellStyle name="_BD All Fac Weekly Status (23rd Jan to 29th Jan) ' 10_BD All Fac Weekly Eff% Status (30th Mar -5th Apr) ' 13" xfId="744" xr:uid="{00000000-0005-0000-0000-0000E7020000}"/>
    <cellStyle name="_BD All Fac Weekly Status (23rd Jan to 29th Jan) ' 10_BD All Fac Weekly Eff% Status (3rd Nov to 9th Nov) ' 12" xfId="745" xr:uid="{00000000-0005-0000-0000-0000E8020000}"/>
    <cellStyle name="_BD All Fac Weekly Status (23rd Jan to 29th Jan) ' 10_BD All Fac Weekly Eff% Status (6th Oct to 12th Oct) ' 12" xfId="746" xr:uid="{00000000-0005-0000-0000-0000E9020000}"/>
    <cellStyle name="_BD All Fac Weekly Status (23rd Jan to 29th Jan) ' 10_December'01-12-201213 Anima" xfId="747" xr:uid="{00000000-0005-0000-0000-0000EA020000}"/>
    <cellStyle name="_BD All Fac Weekly Status (23rd Jan to 29th Jan) ' 10_February'01-02-2013" xfId="748" xr:uid="{00000000-0005-0000-0000-0000EB020000}"/>
    <cellStyle name="_BD All Fac Weekly Status (23rd Jan to 29th Jan) ' 10_January'01-01-2013" xfId="749" xr:uid="{00000000-0005-0000-0000-0000EC020000}"/>
    <cellStyle name="_BD All Fac Weekly Status (23rd Jan to 29th Jan) ' 10_JULY '01-07-2013" xfId="750" xr:uid="{00000000-0005-0000-0000-0000ED020000}"/>
    <cellStyle name="_BD All Fac Weekly Status (23rd Jan to 29th Jan) ' 10_JUNE '01-06-2013" xfId="751" xr:uid="{00000000-0005-0000-0000-0000EE020000}"/>
    <cellStyle name="_BD All Fac Weekly Status (23rd Jan to 29th Jan) ' 10_JUNE '29-04 JULY" xfId="752" xr:uid="{00000000-0005-0000-0000-0000EF020000}"/>
    <cellStyle name="_BD All Fac Weekly Status (23rd Jan to 29th Jan) ' 10_March'" xfId="753" xr:uid="{00000000-0005-0000-0000-0000F0020000}"/>
    <cellStyle name="_BD All Fac Weekly Status (23rd Jan to 29th Jan) ' 10_March'01-02-2013" xfId="754" xr:uid="{00000000-0005-0000-0000-0000F1020000}"/>
    <cellStyle name="_BD All Fac Weekly Status (23rd Jan to 29th Jan) ' 10_May '01-05-2013" xfId="755" xr:uid="{00000000-0005-0000-0000-0000F2020000}"/>
    <cellStyle name="_BD All Fac Weekly Status (23rd Jan to 29th Jan) ' 10_New Format December-2012" xfId="756" xr:uid="{00000000-0005-0000-0000-0000F3020000}"/>
    <cellStyle name="_BD All Fac Weekly Status (23rd Jan to 29th Jan) ' 10_New Format Feb-2013" xfId="757" xr:uid="{00000000-0005-0000-0000-0000F4020000}"/>
    <cellStyle name="_BD All Fac Weekly Status (23rd Jan to 29th Jan) ' 10_New Format February-2013" xfId="758" xr:uid="{00000000-0005-0000-0000-0000F5020000}"/>
    <cellStyle name="_BD All Fac Weekly Status (23rd Jan to 29th Jan) ' 10_New Format November-2012" xfId="759" xr:uid="{00000000-0005-0000-0000-0000F6020000}"/>
    <cellStyle name="_BD All Fac Weekly Status (23rd Jan to 29th Jan) ' 10_October '01-10-2013" xfId="760" xr:uid="{00000000-0005-0000-0000-0000F7020000}"/>
    <cellStyle name="_BD All Fac Weekly Status (23rd Jan to 29th Jan) ' 10_Sep-oct" xfId="761" xr:uid="{00000000-0005-0000-0000-0000F8020000}"/>
    <cellStyle name="_BD All Fac Weekly Status (23rd Jan to 29th Jan) ' 10_September '01-09-2013" xfId="762" xr:uid="{00000000-0005-0000-0000-0000F9020000}"/>
    <cellStyle name="_BD All Fac Weekly Status (23rd Jan to 29th Jan) ' 10_Weekly prdn" xfId="763" xr:uid="{00000000-0005-0000-0000-0000FA020000}"/>
    <cellStyle name="_BD All Fac Weekly Status (23rd Jan to 29th Jan) ' 10_Weekly Status" xfId="764" xr:uid="{00000000-0005-0000-0000-0000FB020000}"/>
    <cellStyle name="_BD All Fac Weekly Status (23rd Jan to 29th Jan) ' 10_Ysl Weekly Status-201228" xfId="765" xr:uid="{00000000-0005-0000-0000-0000FC020000}"/>
    <cellStyle name="_BD All Fac Weekly Status (23rd Jan to 29th Jan) ' 10_Ysl Weekly Status-201229" xfId="766" xr:uid="{00000000-0005-0000-0000-0000FD020000}"/>
    <cellStyle name="_BD All Fac Weekly Status (23rd Jan to 29th Jan) ' 10_Ysl Weekly Status-201230" xfId="767" xr:uid="{00000000-0005-0000-0000-0000FE020000}"/>
    <cellStyle name="_BD All Fac Weekly Status (23rd Jan to 29th Jan) ' 10_Ysl Weekly Status-201231" xfId="768" xr:uid="{00000000-0005-0000-0000-0000FF020000}"/>
    <cellStyle name="_BD All Fac Weekly Status (23rd Jan to 29th Jan) ' 10_Ysl Weekly Status-201233" xfId="769" xr:uid="{00000000-0005-0000-0000-000000030000}"/>
    <cellStyle name="_BD All Fac Weekly Status (23rd Jan to 29th Jan) ' 10_Ysl Weekly Status-201234" xfId="770" xr:uid="{00000000-0005-0000-0000-000001030000}"/>
    <cellStyle name="_BD All Fac Weekly Status (23rd Jan to 29th Jan) ' 10_Ysl Weekly Status-201235" xfId="771" xr:uid="{00000000-0005-0000-0000-000002030000}"/>
    <cellStyle name="_BD All Fac Weekly Status (23rd Jan to 29th Jan) ' 10_Ysl Weekly Status-201236" xfId="772" xr:uid="{00000000-0005-0000-0000-000003030000}"/>
    <cellStyle name="_BD All Fac Weekly Status (23rd Jan to 29th Jan) ' 10_Ysl Weekly Status-201237" xfId="773" xr:uid="{00000000-0005-0000-0000-000004030000}"/>
    <cellStyle name="_BD All Fac Weekly Status (23rd Jan to 29th Jan) ' 10_Ysl Weekly Status-201238" xfId="774" xr:uid="{00000000-0005-0000-0000-000005030000}"/>
    <cellStyle name="_BD All Fac Weekly Status (23rd Jan to 29th Jan) ' 10_Ysl Weekly Status-201239" xfId="775" xr:uid="{00000000-0005-0000-0000-000006030000}"/>
    <cellStyle name="_BD All Fac Weekly Status (23rd Jan to 29th Jan) ' 10_Ysl Weekly Status-201240" xfId="776" xr:uid="{00000000-0005-0000-0000-000007030000}"/>
    <cellStyle name="_BD All Fac Weekly Status (23rd Jan to 29th Jan) ' 10_Ysl Weekly Status-201241" xfId="777" xr:uid="{00000000-0005-0000-0000-000008030000}"/>
    <cellStyle name="_BD All Fac Weekly Status (23rd Jan to 29th Jan) ' 10_Ysl Weekly Status-2013" xfId="778" xr:uid="{00000000-0005-0000-0000-000009030000}"/>
    <cellStyle name="_BD All Fac Weekly Status (23rd Jan to 29th Jan) ' 10_Ysl Weekly Status-20131" xfId="779" xr:uid="{00000000-0005-0000-0000-00000A030000}"/>
    <cellStyle name="_BD All Fac Weekly Status (23rd Jan to 29th Jan) ' 10_Ysl Weekly Status-20132" xfId="780" xr:uid="{00000000-0005-0000-0000-00000B030000}"/>
    <cellStyle name="_BD All Fac Weekly Status (23rd Jan to 29th Jan) ' 10_Ysl Weekly Status-20133" xfId="781" xr:uid="{00000000-0005-0000-0000-00000C030000}"/>
    <cellStyle name="_BD All Fac Weekly Status (23rd Jan to 29th Jan) ' 10_Ysl Weekly Status-20134" xfId="782" xr:uid="{00000000-0005-0000-0000-00000D030000}"/>
    <cellStyle name="_BD All Fac Weekly Status (23rd July to 29th July) ' 11" xfId="783" xr:uid="{00000000-0005-0000-0000-00000E030000}"/>
    <cellStyle name="_BD All Fac Weekly Status (23rd July to 29th July) ' 11_27- JULY- 01 AUG" xfId="784" xr:uid="{00000000-0005-0000-0000-00000F030000}"/>
    <cellStyle name="_BD All Fac Weekly Status (23rd July to 29th July) ' 11_April'01-04-2013" xfId="785" xr:uid="{00000000-0005-0000-0000-000010030000}"/>
    <cellStyle name="_BD All Fac Weekly Status (23rd July to 29th July) ' 11_aPRIL-29-02 mAY" xfId="786" xr:uid="{00000000-0005-0000-0000-000011030000}"/>
    <cellStyle name="_BD All Fac Weekly Status (23rd July to 29th July) ' 11_August '01-08-2013" xfId="787" xr:uid="{00000000-0005-0000-0000-000012030000}"/>
    <cellStyle name="_BD All Fac Weekly Status (23rd July to 29th July) ' 11_BD All Fac Weekly Eff% Status (11th Aug to 17th Aug) ' 12" xfId="788" xr:uid="{00000000-0005-0000-0000-000013030000}"/>
    <cellStyle name="_BD All Fac Weekly Status (23rd July to 29th July) ' 11_BD All Fac Weekly Eff% Status (14th July to 20th July) ' 12" xfId="789" xr:uid="{00000000-0005-0000-0000-000014030000}"/>
    <cellStyle name="_BD All Fac Weekly Status (23rd July to 29th July) ' 11_BD All Fac Weekly Eff% Status (22nd Sep to 28th Sep) ' 12" xfId="790" xr:uid="{00000000-0005-0000-0000-000015030000}"/>
    <cellStyle name="_BD All Fac Weekly Status (23rd July to 29th July) ' 11_BD All Fac Weekly Eff% Status (2nd June to 8th June) ' 12" xfId="791" xr:uid="{00000000-0005-0000-0000-000016030000}"/>
    <cellStyle name="_BD All Fac Weekly Status (23rd July to 29th July) ' 11_BD All Fac Weekly Eff% Status (30th Mar -5th Apr) ' 13" xfId="792" xr:uid="{00000000-0005-0000-0000-000017030000}"/>
    <cellStyle name="_BD All Fac Weekly Status (23rd July to 29th July) ' 11_BD All Fac Weekly Eff% Status (3rd Nov to 9th Nov) ' 12" xfId="793" xr:uid="{00000000-0005-0000-0000-000018030000}"/>
    <cellStyle name="_BD All Fac Weekly Status (23rd July to 29th July) ' 11_BD All Fac Weekly Eff% Status (6th Oct to 12th Oct) ' 12" xfId="794" xr:uid="{00000000-0005-0000-0000-000019030000}"/>
    <cellStyle name="_BD All Fac Weekly Status (23rd July to 29th July) ' 11_December'01-12-201213 Anima" xfId="795" xr:uid="{00000000-0005-0000-0000-00001A030000}"/>
    <cellStyle name="_BD All Fac Weekly Status (23rd July to 29th July) ' 11_February'01-02-2013" xfId="796" xr:uid="{00000000-0005-0000-0000-00001B030000}"/>
    <cellStyle name="_BD All Fac Weekly Status (23rd July to 29th July) ' 11_January'01-01-2013" xfId="797" xr:uid="{00000000-0005-0000-0000-00001C030000}"/>
    <cellStyle name="_BD All Fac Weekly Status (23rd July to 29th July) ' 11_JULY '01-07-2013" xfId="798" xr:uid="{00000000-0005-0000-0000-00001D030000}"/>
    <cellStyle name="_BD All Fac Weekly Status (23rd July to 29th July) ' 11_JUNE '01-06-2013" xfId="799" xr:uid="{00000000-0005-0000-0000-00001E030000}"/>
    <cellStyle name="_BD All Fac Weekly Status (23rd July to 29th July) ' 11_JUNE '29-04 JULY" xfId="800" xr:uid="{00000000-0005-0000-0000-00001F030000}"/>
    <cellStyle name="_BD All Fac Weekly Status (23rd July to 29th July) ' 11_March'" xfId="801" xr:uid="{00000000-0005-0000-0000-000020030000}"/>
    <cellStyle name="_BD All Fac Weekly Status (23rd July to 29th July) ' 11_March'01-02-2013" xfId="802" xr:uid="{00000000-0005-0000-0000-000021030000}"/>
    <cellStyle name="_BD All Fac Weekly Status (23rd July to 29th July) ' 11_May '01-05-2013" xfId="803" xr:uid="{00000000-0005-0000-0000-000022030000}"/>
    <cellStyle name="_BD All Fac Weekly Status (23rd July to 29th July) ' 11_October '01-10-2013" xfId="804" xr:uid="{00000000-0005-0000-0000-000023030000}"/>
    <cellStyle name="_BD All Fac Weekly Status (23rd July to 29th July) ' 11_Sep-oct" xfId="805" xr:uid="{00000000-0005-0000-0000-000024030000}"/>
    <cellStyle name="_BD All Fac Weekly Status (23rd July to 29th July) ' 11_September '01-09-2013" xfId="806" xr:uid="{00000000-0005-0000-0000-000025030000}"/>
    <cellStyle name="_BD All Fac Weekly Status (23rd July to 29th July) ' 11_Weekly prdn" xfId="807" xr:uid="{00000000-0005-0000-0000-000026030000}"/>
    <cellStyle name="_BD All Fac Weekly Status (24th Apr to 30th Apr) ' 10" xfId="808" xr:uid="{00000000-0005-0000-0000-000027030000}"/>
    <cellStyle name="_BD All Fac Weekly Status (24th Apr to 30th Apr) ' 10_27- JULY- 01 AUG" xfId="809" xr:uid="{00000000-0005-0000-0000-000028030000}"/>
    <cellStyle name="_BD All Fac Weekly Status (24th Apr to 30th Apr) ' 10_April'01-04-2013" xfId="810" xr:uid="{00000000-0005-0000-0000-000029030000}"/>
    <cellStyle name="_BD All Fac Weekly Status (24th Apr to 30th Apr) ' 10_aPRIL-29-02 mAY" xfId="811" xr:uid="{00000000-0005-0000-0000-00002A030000}"/>
    <cellStyle name="_BD All Fac Weekly Status (24th Apr to 30th Apr) ' 10_August '01-08-2013" xfId="812" xr:uid="{00000000-0005-0000-0000-00002B030000}"/>
    <cellStyle name="_BD All Fac Weekly Status (24th Apr to 30th Apr) ' 10_BD All Fac Weekly Eff% Status (11th Aug to 17th Aug) ' 12" xfId="813" xr:uid="{00000000-0005-0000-0000-00002C030000}"/>
    <cellStyle name="_BD All Fac Weekly Status (24th Apr to 30th Apr) ' 10_BD All Fac Weekly Eff% Status (14th July to 20th July) ' 12" xfId="814" xr:uid="{00000000-0005-0000-0000-00002D030000}"/>
    <cellStyle name="_BD All Fac Weekly Status (24th Apr to 30th Apr) ' 10_BD All Fac Weekly Eff% Status (22nd Sep to 28th Sep) ' 12" xfId="815" xr:uid="{00000000-0005-0000-0000-00002E030000}"/>
    <cellStyle name="_BD All Fac Weekly Status (24th Apr to 30th Apr) ' 10_BD All Fac Weekly Eff% Status (2nd June to 8th June) ' 12" xfId="816" xr:uid="{00000000-0005-0000-0000-00002F030000}"/>
    <cellStyle name="_BD All Fac Weekly Status (24th Apr to 30th Apr) ' 10_BD All Fac Weekly Eff% Status (30th Mar -5th Apr) ' 13" xfId="817" xr:uid="{00000000-0005-0000-0000-000030030000}"/>
    <cellStyle name="_BD All Fac Weekly Status (24th Apr to 30th Apr) ' 10_BD All Fac Weekly Eff% Status (3rd Nov to 9th Nov) ' 12" xfId="818" xr:uid="{00000000-0005-0000-0000-000031030000}"/>
    <cellStyle name="_BD All Fac Weekly Status (24th Apr to 30th Apr) ' 10_BD All Fac Weekly Eff% Status (6th Oct to 12th Oct) ' 12" xfId="819" xr:uid="{00000000-0005-0000-0000-000032030000}"/>
    <cellStyle name="_BD All Fac Weekly Status (24th Apr to 30th Apr) ' 10_December'01-12-201213 Anima" xfId="820" xr:uid="{00000000-0005-0000-0000-000033030000}"/>
    <cellStyle name="_BD All Fac Weekly Status (24th Apr to 30th Apr) ' 10_February'01-02-2013" xfId="821" xr:uid="{00000000-0005-0000-0000-000034030000}"/>
    <cellStyle name="_BD All Fac Weekly Status (24th Apr to 30th Apr) ' 10_January'01-01-2013" xfId="822" xr:uid="{00000000-0005-0000-0000-000035030000}"/>
    <cellStyle name="_BD All Fac Weekly Status (24th Apr to 30th Apr) ' 10_JULY '01-07-2013" xfId="823" xr:uid="{00000000-0005-0000-0000-000036030000}"/>
    <cellStyle name="_BD All Fac Weekly Status (24th Apr to 30th Apr) ' 10_JUNE '01-06-2013" xfId="824" xr:uid="{00000000-0005-0000-0000-000037030000}"/>
    <cellStyle name="_BD All Fac Weekly Status (24th Apr to 30th Apr) ' 10_JUNE '29-04 JULY" xfId="825" xr:uid="{00000000-0005-0000-0000-000038030000}"/>
    <cellStyle name="_BD All Fac Weekly Status (24th Apr to 30th Apr) ' 10_March'" xfId="826" xr:uid="{00000000-0005-0000-0000-000039030000}"/>
    <cellStyle name="_BD All Fac Weekly Status (24th Apr to 30th Apr) ' 10_March'01-02-2013" xfId="827" xr:uid="{00000000-0005-0000-0000-00003A030000}"/>
    <cellStyle name="_BD All Fac Weekly Status (24th Apr to 30th Apr) ' 10_May '01-05-2013" xfId="828" xr:uid="{00000000-0005-0000-0000-00003B030000}"/>
    <cellStyle name="_BD All Fac Weekly Status (24th Apr to 30th Apr) ' 10_New Format December-2012" xfId="829" xr:uid="{00000000-0005-0000-0000-00003C030000}"/>
    <cellStyle name="_BD All Fac Weekly Status (24th Apr to 30th Apr) ' 10_New Format Feb-2013" xfId="830" xr:uid="{00000000-0005-0000-0000-00003D030000}"/>
    <cellStyle name="_BD All Fac Weekly Status (24th Apr to 30th Apr) ' 10_New Format February-2013" xfId="831" xr:uid="{00000000-0005-0000-0000-00003E030000}"/>
    <cellStyle name="_BD All Fac Weekly Status (24th Apr to 30th Apr) ' 10_New Format November-2012" xfId="832" xr:uid="{00000000-0005-0000-0000-00003F030000}"/>
    <cellStyle name="_BD All Fac Weekly Status (24th Apr to 30th Apr) ' 10_October '01-10-2013" xfId="833" xr:uid="{00000000-0005-0000-0000-000040030000}"/>
    <cellStyle name="_BD All Fac Weekly Status (24th Apr to 30th Apr) ' 10_Sep-oct" xfId="834" xr:uid="{00000000-0005-0000-0000-000041030000}"/>
    <cellStyle name="_BD All Fac Weekly Status (24th Apr to 30th Apr) ' 10_September '01-09-2013" xfId="835" xr:uid="{00000000-0005-0000-0000-000042030000}"/>
    <cellStyle name="_BD All Fac Weekly Status (24th Apr to 30th Apr) ' 10_Weekly prdn" xfId="836" xr:uid="{00000000-0005-0000-0000-000043030000}"/>
    <cellStyle name="_BD All Fac Weekly Status (24th Apr to 30th Apr) ' 10_Weekly Status" xfId="837" xr:uid="{00000000-0005-0000-0000-000044030000}"/>
    <cellStyle name="_BD All Fac Weekly Status (24th Apr to 30th Apr) ' 10_Ysl Weekly Status-201228" xfId="838" xr:uid="{00000000-0005-0000-0000-000045030000}"/>
    <cellStyle name="_BD All Fac Weekly Status (24th Apr to 30th Apr) ' 10_Ysl Weekly Status-201229" xfId="839" xr:uid="{00000000-0005-0000-0000-000046030000}"/>
    <cellStyle name="_BD All Fac Weekly Status (24th Apr to 30th Apr) ' 10_Ysl Weekly Status-201230" xfId="840" xr:uid="{00000000-0005-0000-0000-000047030000}"/>
    <cellStyle name="_BD All Fac Weekly Status (24th Apr to 30th Apr) ' 10_Ysl Weekly Status-201231" xfId="841" xr:uid="{00000000-0005-0000-0000-000048030000}"/>
    <cellStyle name="_BD All Fac Weekly Status (24th Apr to 30th Apr) ' 10_Ysl Weekly Status-201233" xfId="842" xr:uid="{00000000-0005-0000-0000-000049030000}"/>
    <cellStyle name="_BD All Fac Weekly Status (24th Apr to 30th Apr) ' 10_Ysl Weekly Status-201234" xfId="843" xr:uid="{00000000-0005-0000-0000-00004A030000}"/>
    <cellStyle name="_BD All Fac Weekly Status (24th Apr to 30th Apr) ' 10_Ysl Weekly Status-201235" xfId="844" xr:uid="{00000000-0005-0000-0000-00004B030000}"/>
    <cellStyle name="_BD All Fac Weekly Status (24th Apr to 30th Apr) ' 10_Ysl Weekly Status-201236" xfId="845" xr:uid="{00000000-0005-0000-0000-00004C030000}"/>
    <cellStyle name="_BD All Fac Weekly Status (24th Apr to 30th Apr) ' 10_Ysl Weekly Status-201237" xfId="846" xr:uid="{00000000-0005-0000-0000-00004D030000}"/>
    <cellStyle name="_BD All Fac Weekly Status (24th Apr to 30th Apr) ' 10_Ysl Weekly Status-201238" xfId="847" xr:uid="{00000000-0005-0000-0000-00004E030000}"/>
    <cellStyle name="_BD All Fac Weekly Status (24th Apr to 30th Apr) ' 10_Ysl Weekly Status-201239" xfId="848" xr:uid="{00000000-0005-0000-0000-00004F030000}"/>
    <cellStyle name="_BD All Fac Weekly Status (24th Apr to 30th Apr) ' 10_Ysl Weekly Status-201240" xfId="849" xr:uid="{00000000-0005-0000-0000-000050030000}"/>
    <cellStyle name="_BD All Fac Weekly Status (24th Apr to 30th Apr) ' 10_Ysl Weekly Status-201241" xfId="850" xr:uid="{00000000-0005-0000-0000-000051030000}"/>
    <cellStyle name="_BD All Fac Weekly Status (24th Apr to 30th Apr) ' 10_Ysl Weekly Status-2013" xfId="851" xr:uid="{00000000-0005-0000-0000-000052030000}"/>
    <cellStyle name="_BD All Fac Weekly Status (24th Apr to 30th Apr) ' 10_Ysl Weekly Status-20131" xfId="852" xr:uid="{00000000-0005-0000-0000-000053030000}"/>
    <cellStyle name="_BD All Fac Weekly Status (24th Apr to 30th Apr) ' 10_Ysl Weekly Status-20132" xfId="853" xr:uid="{00000000-0005-0000-0000-000054030000}"/>
    <cellStyle name="_BD All Fac Weekly Status (24th Apr to 30th Apr) ' 10_Ysl Weekly Status-20133" xfId="854" xr:uid="{00000000-0005-0000-0000-000055030000}"/>
    <cellStyle name="_BD All Fac Weekly Status (24th Apr to 30th Apr) ' 10_Ysl Weekly Status-20134" xfId="855" xr:uid="{00000000-0005-0000-0000-000056030000}"/>
    <cellStyle name="_BD All Fac Weekly Status (24th Sep to 30th Sep) ' 11" xfId="856" xr:uid="{00000000-0005-0000-0000-000057030000}"/>
    <cellStyle name="_BD All Fac Weekly Status (25th June to 30th June) ' 11" xfId="857" xr:uid="{00000000-0005-0000-0000-000058030000}"/>
    <cellStyle name="_BD All Fac Weekly Status (25th June to 30th June) ' 11_27- JULY- 01 AUG" xfId="858" xr:uid="{00000000-0005-0000-0000-000059030000}"/>
    <cellStyle name="_BD All Fac Weekly Status (25th June to 30th June) ' 11_April'01-04-2013" xfId="859" xr:uid="{00000000-0005-0000-0000-00005A030000}"/>
    <cellStyle name="_BD All Fac Weekly Status (25th June to 30th June) ' 11_aPRIL-29-02 mAY" xfId="860" xr:uid="{00000000-0005-0000-0000-00005B030000}"/>
    <cellStyle name="_BD All Fac Weekly Status (25th June to 30th June) ' 11_August '01-08-2013" xfId="861" xr:uid="{00000000-0005-0000-0000-00005C030000}"/>
    <cellStyle name="_BD All Fac Weekly Status (25th June to 30th June) ' 11_BD All Fac Weekly Eff% Status (11th Aug to 17th Aug) ' 12" xfId="862" xr:uid="{00000000-0005-0000-0000-00005D030000}"/>
    <cellStyle name="_BD All Fac Weekly Status (25th June to 30th June) ' 11_BD All Fac Weekly Eff% Status (14th July to 20th July) ' 12" xfId="863" xr:uid="{00000000-0005-0000-0000-00005E030000}"/>
    <cellStyle name="_BD All Fac Weekly Status (25th June to 30th June) ' 11_BD All Fac Weekly Eff% Status (22nd Sep to 28th Sep) ' 12" xfId="864" xr:uid="{00000000-0005-0000-0000-00005F030000}"/>
    <cellStyle name="_BD All Fac Weekly Status (25th June to 30th June) ' 11_BD All Fac Weekly Eff% Status (2nd June to 8th June) ' 12" xfId="865" xr:uid="{00000000-0005-0000-0000-000060030000}"/>
    <cellStyle name="_BD All Fac Weekly Status (25th June to 30th June) ' 11_BD All Fac Weekly Eff% Status (30th Mar -5th Apr) ' 13" xfId="866" xr:uid="{00000000-0005-0000-0000-000061030000}"/>
    <cellStyle name="_BD All Fac Weekly Status (25th June to 30th June) ' 11_BD All Fac Weekly Eff% Status (3rd Nov to 9th Nov) ' 12" xfId="867" xr:uid="{00000000-0005-0000-0000-000062030000}"/>
    <cellStyle name="_BD All Fac Weekly Status (25th June to 30th June) ' 11_BD All Fac Weekly Eff% Status (6th Oct to 12th Oct) ' 12" xfId="868" xr:uid="{00000000-0005-0000-0000-000063030000}"/>
    <cellStyle name="_BD All Fac Weekly Status (25th June to 30th June) ' 11_December'01-12-201213 Anima" xfId="869" xr:uid="{00000000-0005-0000-0000-000064030000}"/>
    <cellStyle name="_BD All Fac Weekly Status (25th June to 30th June) ' 11_February'01-02-2013" xfId="870" xr:uid="{00000000-0005-0000-0000-000065030000}"/>
    <cellStyle name="_BD All Fac Weekly Status (25th June to 30th June) ' 11_January'01-01-2013" xfId="871" xr:uid="{00000000-0005-0000-0000-000066030000}"/>
    <cellStyle name="_BD All Fac Weekly Status (25th June to 30th June) ' 11_JULY '01-07-2013" xfId="872" xr:uid="{00000000-0005-0000-0000-000067030000}"/>
    <cellStyle name="_BD All Fac Weekly Status (25th June to 30th June) ' 11_JUNE '01-06-2013" xfId="873" xr:uid="{00000000-0005-0000-0000-000068030000}"/>
    <cellStyle name="_BD All Fac Weekly Status (25th June to 30th June) ' 11_JUNE '29-04 JULY" xfId="874" xr:uid="{00000000-0005-0000-0000-000069030000}"/>
    <cellStyle name="_BD All Fac Weekly Status (25th June to 30th June) ' 11_March'" xfId="875" xr:uid="{00000000-0005-0000-0000-00006A030000}"/>
    <cellStyle name="_BD All Fac Weekly Status (25th June to 30th June) ' 11_March'01-02-2013" xfId="876" xr:uid="{00000000-0005-0000-0000-00006B030000}"/>
    <cellStyle name="_BD All Fac Weekly Status (25th June to 30th June) ' 11_May '01-05-2013" xfId="877" xr:uid="{00000000-0005-0000-0000-00006C030000}"/>
    <cellStyle name="_BD All Fac Weekly Status (25th June to 30th June) ' 11_October '01-10-2013" xfId="878" xr:uid="{00000000-0005-0000-0000-00006D030000}"/>
    <cellStyle name="_BD All Fac Weekly Status (25th June to 30th June) ' 11_Sep-oct" xfId="879" xr:uid="{00000000-0005-0000-0000-00006E030000}"/>
    <cellStyle name="_BD All Fac Weekly Status (25th June to 30th June) ' 11_September '01-09-2013" xfId="880" xr:uid="{00000000-0005-0000-0000-00006F030000}"/>
    <cellStyle name="_BD All Fac Weekly Status (25th June to 30th June) ' 11_Weekly prdn" xfId="881" xr:uid="{00000000-0005-0000-0000-000070030000}"/>
    <cellStyle name="_BD All Fac Weekly Status (27th August to 31st August) ' 11" xfId="882" xr:uid="{00000000-0005-0000-0000-000071030000}"/>
    <cellStyle name="_BD All Fac Weekly Status (27th August to 31st August) ' 11_27- JULY- 01 AUG" xfId="883" xr:uid="{00000000-0005-0000-0000-000072030000}"/>
    <cellStyle name="_BD All Fac Weekly Status (27th August to 31st August) ' 11_April'01-04-2013" xfId="884" xr:uid="{00000000-0005-0000-0000-000073030000}"/>
    <cellStyle name="_BD All Fac Weekly Status (27th August to 31st August) ' 11_aPRIL-29-02 mAY" xfId="885" xr:uid="{00000000-0005-0000-0000-000074030000}"/>
    <cellStyle name="_BD All Fac Weekly Status (27th August to 31st August) ' 11_August '01-08-2013" xfId="886" xr:uid="{00000000-0005-0000-0000-000075030000}"/>
    <cellStyle name="_BD All Fac Weekly Status (27th August to 31st August) ' 11_BD All Fac Weekly Eff% Status (11th Aug to 17th Aug) ' 12" xfId="887" xr:uid="{00000000-0005-0000-0000-000076030000}"/>
    <cellStyle name="_BD All Fac Weekly Status (27th August to 31st August) ' 11_BD All Fac Weekly Eff% Status (14th July to 20th July) ' 12" xfId="888" xr:uid="{00000000-0005-0000-0000-000077030000}"/>
    <cellStyle name="_BD All Fac Weekly Status (27th August to 31st August) ' 11_BD All Fac Weekly Eff% Status (22nd Sep to 28th Sep) ' 12" xfId="889" xr:uid="{00000000-0005-0000-0000-000078030000}"/>
    <cellStyle name="_BD All Fac Weekly Status (27th August to 31st August) ' 11_BD All Fac Weekly Eff% Status (2nd June to 8th June) ' 12" xfId="890" xr:uid="{00000000-0005-0000-0000-000079030000}"/>
    <cellStyle name="_BD All Fac Weekly Status (27th August to 31st August) ' 11_BD All Fac Weekly Eff% Status (30th Mar -5th Apr) ' 13" xfId="891" xr:uid="{00000000-0005-0000-0000-00007A030000}"/>
    <cellStyle name="_BD All Fac Weekly Status (27th August to 31st August) ' 11_BD All Fac Weekly Eff% Status (3rd Nov to 9th Nov) ' 12" xfId="892" xr:uid="{00000000-0005-0000-0000-00007B030000}"/>
    <cellStyle name="_BD All Fac Weekly Status (27th August to 31st August) ' 11_BD All Fac Weekly Eff% Status (6th Oct to 12th Oct) ' 12" xfId="893" xr:uid="{00000000-0005-0000-0000-00007C030000}"/>
    <cellStyle name="_BD All Fac Weekly Status (27th August to 31st August) ' 11_December'01-12-201213 Anima" xfId="894" xr:uid="{00000000-0005-0000-0000-00007D030000}"/>
    <cellStyle name="_BD All Fac Weekly Status (27th August to 31st August) ' 11_February'01-02-2013" xfId="895" xr:uid="{00000000-0005-0000-0000-00007E030000}"/>
    <cellStyle name="_BD All Fac Weekly Status (27th August to 31st August) ' 11_January'01-01-2013" xfId="896" xr:uid="{00000000-0005-0000-0000-00007F030000}"/>
    <cellStyle name="_BD All Fac Weekly Status (27th August to 31st August) ' 11_JULY '01-07-2013" xfId="897" xr:uid="{00000000-0005-0000-0000-000080030000}"/>
    <cellStyle name="_BD All Fac Weekly Status (27th August to 31st August) ' 11_JUNE '01-06-2013" xfId="898" xr:uid="{00000000-0005-0000-0000-000081030000}"/>
    <cellStyle name="_BD All Fac Weekly Status (27th August to 31st August) ' 11_JUNE '29-04 JULY" xfId="899" xr:uid="{00000000-0005-0000-0000-000082030000}"/>
    <cellStyle name="_BD All Fac Weekly Status (27th August to 31st August) ' 11_March'" xfId="900" xr:uid="{00000000-0005-0000-0000-000083030000}"/>
    <cellStyle name="_BD All Fac Weekly Status (27th August to 31st August) ' 11_March'01-02-2013" xfId="901" xr:uid="{00000000-0005-0000-0000-000084030000}"/>
    <cellStyle name="_BD All Fac Weekly Status (27th August to 31st August) ' 11_May '01-05-2013" xfId="902" xr:uid="{00000000-0005-0000-0000-000085030000}"/>
    <cellStyle name="_BD All Fac Weekly Status (27th August to 31st August) ' 11_October '01-10-2013" xfId="903" xr:uid="{00000000-0005-0000-0000-000086030000}"/>
    <cellStyle name="_BD All Fac Weekly Status (27th August to 31st August) ' 11_Sep-oct" xfId="904" xr:uid="{00000000-0005-0000-0000-000087030000}"/>
    <cellStyle name="_BD All Fac Weekly Status (27th August to 31st August) ' 11_September '01-09-2013" xfId="905" xr:uid="{00000000-0005-0000-0000-000088030000}"/>
    <cellStyle name="_BD All Fac Weekly Status (27th August to 31st August) ' 11_Weekly prdn" xfId="906" xr:uid="{00000000-0005-0000-0000-000089030000}"/>
    <cellStyle name="_BD All Fac Weekly Status (28th May to 3rd June) ' 11" xfId="907" xr:uid="{00000000-0005-0000-0000-00008A030000}"/>
    <cellStyle name="_BD All Fac Weekly Status (28th May to 3rd June) ' 11_27- JULY- 01 AUG" xfId="908" xr:uid="{00000000-0005-0000-0000-00008B030000}"/>
    <cellStyle name="_BD All Fac Weekly Status (28th May to 3rd June) ' 11_April'01-04-2013" xfId="909" xr:uid="{00000000-0005-0000-0000-00008C030000}"/>
    <cellStyle name="_BD All Fac Weekly Status (28th May to 3rd June) ' 11_aPRIL-29-02 mAY" xfId="910" xr:uid="{00000000-0005-0000-0000-00008D030000}"/>
    <cellStyle name="_BD All Fac Weekly Status (28th May to 3rd June) ' 11_August '01-08-2013" xfId="911" xr:uid="{00000000-0005-0000-0000-00008E030000}"/>
    <cellStyle name="_BD All Fac Weekly Status (28th May to 3rd June) ' 11_BD All Fac Weekly Eff% Status (11th Aug to 17th Aug) ' 12" xfId="912" xr:uid="{00000000-0005-0000-0000-00008F030000}"/>
    <cellStyle name="_BD All Fac Weekly Status (28th May to 3rd June) ' 11_BD All Fac Weekly Eff% Status (14th July to 20th July) ' 12" xfId="913" xr:uid="{00000000-0005-0000-0000-000090030000}"/>
    <cellStyle name="_BD All Fac Weekly Status (28th May to 3rd June) ' 11_BD All Fac Weekly Eff% Status (22nd Sep to 28th Sep) ' 12" xfId="914" xr:uid="{00000000-0005-0000-0000-000091030000}"/>
    <cellStyle name="_BD All Fac Weekly Status (28th May to 3rd June) ' 11_BD All Fac Weekly Eff% Status (2nd June to 8th June) ' 12" xfId="915" xr:uid="{00000000-0005-0000-0000-000092030000}"/>
    <cellStyle name="_BD All Fac Weekly Status (28th May to 3rd June) ' 11_BD All Fac Weekly Eff% Status (30th Mar -5th Apr) ' 13" xfId="916" xr:uid="{00000000-0005-0000-0000-000093030000}"/>
    <cellStyle name="_BD All Fac Weekly Status (28th May to 3rd June) ' 11_BD All Fac Weekly Eff% Status (3rd Nov to 9th Nov) ' 12" xfId="917" xr:uid="{00000000-0005-0000-0000-000094030000}"/>
    <cellStyle name="_BD All Fac Weekly Status (28th May to 3rd June) ' 11_BD All Fac Weekly Eff% Status (6th Oct to 12th Oct) ' 12" xfId="918" xr:uid="{00000000-0005-0000-0000-000095030000}"/>
    <cellStyle name="_BD All Fac Weekly Status (28th May to 3rd June) ' 11_December'01-12-201213 Anima" xfId="919" xr:uid="{00000000-0005-0000-0000-000096030000}"/>
    <cellStyle name="_BD All Fac Weekly Status (28th May to 3rd June) ' 11_February'01-02-2013" xfId="920" xr:uid="{00000000-0005-0000-0000-000097030000}"/>
    <cellStyle name="_BD All Fac Weekly Status (28th May to 3rd June) ' 11_January'01-01-2013" xfId="921" xr:uid="{00000000-0005-0000-0000-000098030000}"/>
    <cellStyle name="_BD All Fac Weekly Status (28th May to 3rd June) ' 11_JULY '01-07-2013" xfId="922" xr:uid="{00000000-0005-0000-0000-000099030000}"/>
    <cellStyle name="_BD All Fac Weekly Status (28th May to 3rd June) ' 11_JUNE '01-06-2013" xfId="923" xr:uid="{00000000-0005-0000-0000-00009A030000}"/>
    <cellStyle name="_BD All Fac Weekly Status (28th May to 3rd June) ' 11_JUNE '29-04 JULY" xfId="924" xr:uid="{00000000-0005-0000-0000-00009B030000}"/>
    <cellStyle name="_BD All Fac Weekly Status (28th May to 3rd June) ' 11_March'" xfId="925" xr:uid="{00000000-0005-0000-0000-00009C030000}"/>
    <cellStyle name="_BD All Fac Weekly Status (28th May to 3rd June) ' 11_March'01-02-2013" xfId="926" xr:uid="{00000000-0005-0000-0000-00009D030000}"/>
    <cellStyle name="_BD All Fac Weekly Status (28th May to 3rd June) ' 11_May '01-05-2013" xfId="927" xr:uid="{00000000-0005-0000-0000-00009E030000}"/>
    <cellStyle name="_BD All Fac Weekly Status (28th May to 3rd June) ' 11_October '01-10-2013" xfId="928" xr:uid="{00000000-0005-0000-0000-00009F030000}"/>
    <cellStyle name="_BD All Fac Weekly Status (28th May to 3rd June) ' 11_Sep-oct" xfId="929" xr:uid="{00000000-0005-0000-0000-0000A0030000}"/>
    <cellStyle name="_BD All Fac Weekly Status (28th May to 3rd June) ' 11_September '01-09-2013" xfId="930" xr:uid="{00000000-0005-0000-0000-0000A1030000}"/>
    <cellStyle name="_BD All Fac Weekly Status (28th May to 3rd June) ' 11_Weekly prdn" xfId="931" xr:uid="{00000000-0005-0000-0000-0000A2030000}"/>
    <cellStyle name="_BD All Fac Weekly Status (2nd July to 8th July) ' 11" xfId="932" xr:uid="{00000000-0005-0000-0000-0000A3030000}"/>
    <cellStyle name="_BD All Fac Weekly Status (2nd July to 8th July) ' 11_27- JULY- 01 AUG" xfId="933" xr:uid="{00000000-0005-0000-0000-0000A4030000}"/>
    <cellStyle name="_BD All Fac Weekly Status (2nd July to 8th July) ' 11_April'01-04-2013" xfId="934" xr:uid="{00000000-0005-0000-0000-0000A5030000}"/>
    <cellStyle name="_BD All Fac Weekly Status (2nd July to 8th July) ' 11_aPRIL-29-02 mAY" xfId="935" xr:uid="{00000000-0005-0000-0000-0000A6030000}"/>
    <cellStyle name="_BD All Fac Weekly Status (2nd July to 8th July) ' 11_August '01-08-2013" xfId="936" xr:uid="{00000000-0005-0000-0000-0000A7030000}"/>
    <cellStyle name="_BD All Fac Weekly Status (2nd July to 8th July) ' 11_BD All Fac Weekly Eff% Status (11th Aug to 17th Aug) ' 12" xfId="937" xr:uid="{00000000-0005-0000-0000-0000A8030000}"/>
    <cellStyle name="_BD All Fac Weekly Status (2nd July to 8th July) ' 11_BD All Fac Weekly Eff% Status (14th July to 20th July) ' 12" xfId="938" xr:uid="{00000000-0005-0000-0000-0000A9030000}"/>
    <cellStyle name="_BD All Fac Weekly Status (2nd July to 8th July) ' 11_BD All Fac Weekly Eff% Status (22nd Sep to 28th Sep) ' 12" xfId="939" xr:uid="{00000000-0005-0000-0000-0000AA030000}"/>
    <cellStyle name="_BD All Fac Weekly Status (2nd July to 8th July) ' 11_BD All Fac Weekly Eff% Status (2nd June to 8th June) ' 12" xfId="940" xr:uid="{00000000-0005-0000-0000-0000AB030000}"/>
    <cellStyle name="_BD All Fac Weekly Status (2nd July to 8th July) ' 11_BD All Fac Weekly Eff% Status (30th Mar -5th Apr) ' 13" xfId="941" xr:uid="{00000000-0005-0000-0000-0000AC030000}"/>
    <cellStyle name="_BD All Fac Weekly Status (2nd July to 8th July) ' 11_BD All Fac Weekly Eff% Status (3rd Nov to 9th Nov) ' 12" xfId="942" xr:uid="{00000000-0005-0000-0000-0000AD030000}"/>
    <cellStyle name="_BD All Fac Weekly Status (2nd July to 8th July) ' 11_BD All Fac Weekly Eff% Status (6th Oct to 12th Oct) ' 12" xfId="943" xr:uid="{00000000-0005-0000-0000-0000AE030000}"/>
    <cellStyle name="_BD All Fac Weekly Status (2nd July to 8th July) ' 11_December'01-12-201213 Anima" xfId="944" xr:uid="{00000000-0005-0000-0000-0000AF030000}"/>
    <cellStyle name="_BD All Fac Weekly Status (2nd July to 8th July) ' 11_February'01-02-2013" xfId="945" xr:uid="{00000000-0005-0000-0000-0000B0030000}"/>
    <cellStyle name="_BD All Fac Weekly Status (2nd July to 8th July) ' 11_January'01-01-2013" xfId="946" xr:uid="{00000000-0005-0000-0000-0000B1030000}"/>
    <cellStyle name="_BD All Fac Weekly Status (2nd July to 8th July) ' 11_JULY '01-07-2013" xfId="947" xr:uid="{00000000-0005-0000-0000-0000B2030000}"/>
    <cellStyle name="_BD All Fac Weekly Status (2nd July to 8th July) ' 11_JUNE '01-06-2013" xfId="948" xr:uid="{00000000-0005-0000-0000-0000B3030000}"/>
    <cellStyle name="_BD All Fac Weekly Status (2nd July to 8th July) ' 11_JUNE '29-04 JULY" xfId="949" xr:uid="{00000000-0005-0000-0000-0000B4030000}"/>
    <cellStyle name="_BD All Fac Weekly Status (2nd July to 8th July) ' 11_March'" xfId="950" xr:uid="{00000000-0005-0000-0000-0000B5030000}"/>
    <cellStyle name="_BD All Fac Weekly Status (2nd July to 8th July) ' 11_March'01-02-2013" xfId="951" xr:uid="{00000000-0005-0000-0000-0000B6030000}"/>
    <cellStyle name="_BD All Fac Weekly Status (2nd July to 8th July) ' 11_May '01-05-2013" xfId="952" xr:uid="{00000000-0005-0000-0000-0000B7030000}"/>
    <cellStyle name="_BD All Fac Weekly Status (2nd July to 8th July) ' 11_October '01-10-2013" xfId="953" xr:uid="{00000000-0005-0000-0000-0000B8030000}"/>
    <cellStyle name="_BD All Fac Weekly Status (2nd July to 8th July) ' 11_Sep-oct" xfId="954" xr:uid="{00000000-0005-0000-0000-0000B9030000}"/>
    <cellStyle name="_BD All Fac Weekly Status (2nd July to 8th July) ' 11_September '01-09-2013" xfId="955" xr:uid="{00000000-0005-0000-0000-0000BA030000}"/>
    <cellStyle name="_BD All Fac Weekly Status (2nd July to 8th July) ' 11_Weekly prdn" xfId="956" xr:uid="{00000000-0005-0000-0000-0000BB030000}"/>
    <cellStyle name="_BD All Fac Weekly Status (30th July to 5th August) ' 11" xfId="957" xr:uid="{00000000-0005-0000-0000-0000BC030000}"/>
    <cellStyle name="_BD All Fac Weekly Status (30th July to 5th August) ' 11_27- JULY- 01 AUG" xfId="958" xr:uid="{00000000-0005-0000-0000-0000BD030000}"/>
    <cellStyle name="_BD All Fac Weekly Status (30th July to 5th August) ' 11_April'01-04-2013" xfId="959" xr:uid="{00000000-0005-0000-0000-0000BE030000}"/>
    <cellStyle name="_BD All Fac Weekly Status (30th July to 5th August) ' 11_aPRIL-29-02 mAY" xfId="960" xr:uid="{00000000-0005-0000-0000-0000BF030000}"/>
    <cellStyle name="_BD All Fac Weekly Status (30th July to 5th August) ' 11_August '01-08-2013" xfId="961" xr:uid="{00000000-0005-0000-0000-0000C0030000}"/>
    <cellStyle name="_BD All Fac Weekly Status (30th July to 5th August) ' 11_BD All Fac Weekly Eff% Status (11th Aug to 17th Aug) ' 12" xfId="962" xr:uid="{00000000-0005-0000-0000-0000C1030000}"/>
    <cellStyle name="_BD All Fac Weekly Status (30th July to 5th August) ' 11_BD All Fac Weekly Eff% Status (14th July to 20th July) ' 12" xfId="963" xr:uid="{00000000-0005-0000-0000-0000C2030000}"/>
    <cellStyle name="_BD All Fac Weekly Status (30th July to 5th August) ' 11_BD All Fac Weekly Eff% Status (22nd Sep to 28th Sep) ' 12" xfId="964" xr:uid="{00000000-0005-0000-0000-0000C3030000}"/>
    <cellStyle name="_BD All Fac Weekly Status (30th July to 5th August) ' 11_BD All Fac Weekly Eff% Status (2nd June to 8th June) ' 12" xfId="965" xr:uid="{00000000-0005-0000-0000-0000C4030000}"/>
    <cellStyle name="_BD All Fac Weekly Status (30th July to 5th August) ' 11_BD All Fac Weekly Eff% Status (30th Mar -5th Apr) ' 13" xfId="966" xr:uid="{00000000-0005-0000-0000-0000C5030000}"/>
    <cellStyle name="_BD All Fac Weekly Status (30th July to 5th August) ' 11_BD All Fac Weekly Eff% Status (3rd Nov to 9th Nov) ' 12" xfId="967" xr:uid="{00000000-0005-0000-0000-0000C6030000}"/>
    <cellStyle name="_BD All Fac Weekly Status (30th July to 5th August) ' 11_BD All Fac Weekly Eff% Status (6th Oct to 12th Oct) ' 12" xfId="968" xr:uid="{00000000-0005-0000-0000-0000C7030000}"/>
    <cellStyle name="_BD All Fac Weekly Status (30th July to 5th August) ' 11_December'01-12-201213 Anima" xfId="969" xr:uid="{00000000-0005-0000-0000-0000C8030000}"/>
    <cellStyle name="_BD All Fac Weekly Status (30th July to 5th August) ' 11_February'01-02-2013" xfId="970" xr:uid="{00000000-0005-0000-0000-0000C9030000}"/>
    <cellStyle name="_BD All Fac Weekly Status (30th July to 5th August) ' 11_January'01-01-2013" xfId="971" xr:uid="{00000000-0005-0000-0000-0000CA030000}"/>
    <cellStyle name="_BD All Fac Weekly Status (30th July to 5th August) ' 11_JULY '01-07-2013" xfId="972" xr:uid="{00000000-0005-0000-0000-0000CB030000}"/>
    <cellStyle name="_BD All Fac Weekly Status (30th July to 5th August) ' 11_JUNE '01-06-2013" xfId="973" xr:uid="{00000000-0005-0000-0000-0000CC030000}"/>
    <cellStyle name="_BD All Fac Weekly Status (30th July to 5th August) ' 11_JUNE '29-04 JULY" xfId="974" xr:uid="{00000000-0005-0000-0000-0000CD030000}"/>
    <cellStyle name="_BD All Fac Weekly Status (30th July to 5th August) ' 11_March'" xfId="975" xr:uid="{00000000-0005-0000-0000-0000CE030000}"/>
    <cellStyle name="_BD All Fac Weekly Status (30th July to 5th August) ' 11_March'01-02-2013" xfId="976" xr:uid="{00000000-0005-0000-0000-0000CF030000}"/>
    <cellStyle name="_BD All Fac Weekly Status (30th July to 5th August) ' 11_May '01-05-2013" xfId="977" xr:uid="{00000000-0005-0000-0000-0000D0030000}"/>
    <cellStyle name="_BD All Fac Weekly Status (30th July to 5th August) ' 11_October '01-10-2013" xfId="978" xr:uid="{00000000-0005-0000-0000-0000D1030000}"/>
    <cellStyle name="_BD All Fac Weekly Status (30th July to 5th August) ' 11_Sep-oct" xfId="979" xr:uid="{00000000-0005-0000-0000-0000D2030000}"/>
    <cellStyle name="_BD All Fac Weekly Status (30th July to 5th August) ' 11_September '01-09-2013" xfId="980" xr:uid="{00000000-0005-0000-0000-0000D3030000}"/>
    <cellStyle name="_BD All Fac Weekly Status (30th July to 5th August) ' 11_Weekly prdn" xfId="981" xr:uid="{00000000-0005-0000-0000-0000D4030000}"/>
    <cellStyle name="_BD All Fac Weekly Status (4th June to 10th June) ' 11" xfId="982" xr:uid="{00000000-0005-0000-0000-0000D5030000}"/>
    <cellStyle name="_BD All Fac Weekly Status (4th June to 10th June) ' 11_27- JULY- 01 AUG" xfId="983" xr:uid="{00000000-0005-0000-0000-0000D6030000}"/>
    <cellStyle name="_BD All Fac Weekly Status (4th June to 10th June) ' 11_April'01-04-2013" xfId="984" xr:uid="{00000000-0005-0000-0000-0000D7030000}"/>
    <cellStyle name="_BD All Fac Weekly Status (4th June to 10th June) ' 11_aPRIL-29-02 mAY" xfId="985" xr:uid="{00000000-0005-0000-0000-0000D8030000}"/>
    <cellStyle name="_BD All Fac Weekly Status (4th June to 10th June) ' 11_August '01-08-2013" xfId="986" xr:uid="{00000000-0005-0000-0000-0000D9030000}"/>
    <cellStyle name="_BD All Fac Weekly Status (4th June to 10th June) ' 11_BD All Fac Weekly Eff% Status (11th Aug to 17th Aug) ' 12" xfId="987" xr:uid="{00000000-0005-0000-0000-0000DA030000}"/>
    <cellStyle name="_BD All Fac Weekly Status (4th June to 10th June) ' 11_BD All Fac Weekly Eff% Status (14th July to 20th July) ' 12" xfId="988" xr:uid="{00000000-0005-0000-0000-0000DB030000}"/>
    <cellStyle name="_BD All Fac Weekly Status (4th June to 10th June) ' 11_BD All Fac Weekly Eff% Status (22nd Sep to 28th Sep) ' 12" xfId="989" xr:uid="{00000000-0005-0000-0000-0000DC030000}"/>
    <cellStyle name="_BD All Fac Weekly Status (4th June to 10th June) ' 11_BD All Fac Weekly Eff% Status (2nd June to 8th June) ' 12" xfId="990" xr:uid="{00000000-0005-0000-0000-0000DD030000}"/>
    <cellStyle name="_BD All Fac Weekly Status (4th June to 10th June) ' 11_BD All Fac Weekly Eff% Status (30th Mar -5th Apr) ' 13" xfId="991" xr:uid="{00000000-0005-0000-0000-0000DE030000}"/>
    <cellStyle name="_BD All Fac Weekly Status (4th June to 10th June) ' 11_BD All Fac Weekly Eff% Status (3rd Nov to 9th Nov) ' 12" xfId="992" xr:uid="{00000000-0005-0000-0000-0000DF030000}"/>
    <cellStyle name="_BD All Fac Weekly Status (4th June to 10th June) ' 11_BD All Fac Weekly Eff% Status (6th Oct to 12th Oct) ' 12" xfId="993" xr:uid="{00000000-0005-0000-0000-0000E0030000}"/>
    <cellStyle name="_BD All Fac Weekly Status (4th June to 10th June) ' 11_December'01-12-201213 Anima" xfId="994" xr:uid="{00000000-0005-0000-0000-0000E1030000}"/>
    <cellStyle name="_BD All Fac Weekly Status (4th June to 10th June) ' 11_February'01-02-2013" xfId="995" xr:uid="{00000000-0005-0000-0000-0000E2030000}"/>
    <cellStyle name="_BD All Fac Weekly Status (4th June to 10th June) ' 11_January'01-01-2013" xfId="996" xr:uid="{00000000-0005-0000-0000-0000E3030000}"/>
    <cellStyle name="_BD All Fac Weekly Status (4th June to 10th June) ' 11_JULY '01-07-2013" xfId="997" xr:uid="{00000000-0005-0000-0000-0000E4030000}"/>
    <cellStyle name="_BD All Fac Weekly Status (4th June to 10th June) ' 11_JUNE '01-06-2013" xfId="998" xr:uid="{00000000-0005-0000-0000-0000E5030000}"/>
    <cellStyle name="_BD All Fac Weekly Status (4th June to 10th June) ' 11_JUNE '29-04 JULY" xfId="999" xr:uid="{00000000-0005-0000-0000-0000E6030000}"/>
    <cellStyle name="_BD All Fac Weekly Status (4th June to 10th June) ' 11_March'" xfId="1000" xr:uid="{00000000-0005-0000-0000-0000E7030000}"/>
    <cellStyle name="_BD All Fac Weekly Status (4th June to 10th June) ' 11_March'01-02-2013" xfId="1001" xr:uid="{00000000-0005-0000-0000-0000E8030000}"/>
    <cellStyle name="_BD All Fac Weekly Status (4th June to 10th June) ' 11_May '01-05-2013" xfId="1002" xr:uid="{00000000-0005-0000-0000-0000E9030000}"/>
    <cellStyle name="_BD All Fac Weekly Status (4th June to 10th June) ' 11_October '01-10-2013" xfId="1003" xr:uid="{00000000-0005-0000-0000-0000EA030000}"/>
    <cellStyle name="_BD All Fac Weekly Status (4th June to 10th June) ' 11_Sep-oct" xfId="1004" xr:uid="{00000000-0005-0000-0000-0000EB030000}"/>
    <cellStyle name="_BD All Fac Weekly Status (4th June to 10th June) ' 11_September '01-09-2013" xfId="1005" xr:uid="{00000000-0005-0000-0000-0000EC030000}"/>
    <cellStyle name="_BD All Fac Weekly Status (4th June to 10th June) ' 11_Weekly prdn" xfId="1006" xr:uid="{00000000-0005-0000-0000-0000ED030000}"/>
    <cellStyle name="_BD All Fac Weekly Status (5th Sep to 9th Sep) ' 11" xfId="1007" xr:uid="{00000000-0005-0000-0000-0000EE030000}"/>
    <cellStyle name="_BD All Fac Weekly Status (5th Sep to 9th Sep) ' 11_27- JULY- 01 AUG" xfId="1008" xr:uid="{00000000-0005-0000-0000-0000EF030000}"/>
    <cellStyle name="_BD All Fac Weekly Status (5th Sep to 9th Sep) ' 11_April'01-04-2013" xfId="1009" xr:uid="{00000000-0005-0000-0000-0000F0030000}"/>
    <cellStyle name="_BD All Fac Weekly Status (5th Sep to 9th Sep) ' 11_aPRIL-29-02 mAY" xfId="1010" xr:uid="{00000000-0005-0000-0000-0000F1030000}"/>
    <cellStyle name="_BD All Fac Weekly Status (5th Sep to 9th Sep) ' 11_August '01-08-2013" xfId="1011" xr:uid="{00000000-0005-0000-0000-0000F2030000}"/>
    <cellStyle name="_BD All Fac Weekly Status (5th Sep to 9th Sep) ' 11_BD All Fac Weekly Eff% Status (11th Aug to 17th Aug) ' 12" xfId="1012" xr:uid="{00000000-0005-0000-0000-0000F3030000}"/>
    <cellStyle name="_BD All Fac Weekly Status (5th Sep to 9th Sep) ' 11_BD All Fac Weekly Eff% Status (14th July to 20th July) ' 12" xfId="1013" xr:uid="{00000000-0005-0000-0000-0000F4030000}"/>
    <cellStyle name="_BD All Fac Weekly Status (5th Sep to 9th Sep) ' 11_BD All Fac Weekly Eff% Status (22nd Sep to 28th Sep) ' 12" xfId="1014" xr:uid="{00000000-0005-0000-0000-0000F5030000}"/>
    <cellStyle name="_BD All Fac Weekly Status (5th Sep to 9th Sep) ' 11_BD All Fac Weekly Eff% Status (2nd June to 8th June) ' 12" xfId="1015" xr:uid="{00000000-0005-0000-0000-0000F6030000}"/>
    <cellStyle name="_BD All Fac Weekly Status (5th Sep to 9th Sep) ' 11_BD All Fac Weekly Eff% Status (30th Mar -5th Apr) ' 13" xfId="1016" xr:uid="{00000000-0005-0000-0000-0000F7030000}"/>
    <cellStyle name="_BD All Fac Weekly Status (5th Sep to 9th Sep) ' 11_BD All Fac Weekly Eff% Status (3rd Nov to 9th Nov) ' 12" xfId="1017" xr:uid="{00000000-0005-0000-0000-0000F8030000}"/>
    <cellStyle name="_BD All Fac Weekly Status (5th Sep to 9th Sep) ' 11_BD All Fac Weekly Eff% Status (6th Oct to 12th Oct) ' 12" xfId="1018" xr:uid="{00000000-0005-0000-0000-0000F9030000}"/>
    <cellStyle name="_BD All Fac Weekly Status (5th Sep to 9th Sep) ' 11_December'01-12-201213 Anima" xfId="1019" xr:uid="{00000000-0005-0000-0000-0000FA030000}"/>
    <cellStyle name="_BD All Fac Weekly Status (5th Sep to 9th Sep) ' 11_February'01-02-2013" xfId="1020" xr:uid="{00000000-0005-0000-0000-0000FB030000}"/>
    <cellStyle name="_BD All Fac Weekly Status (5th Sep to 9th Sep) ' 11_January'01-01-2013" xfId="1021" xr:uid="{00000000-0005-0000-0000-0000FC030000}"/>
    <cellStyle name="_BD All Fac Weekly Status (5th Sep to 9th Sep) ' 11_JULY '01-07-2013" xfId="1022" xr:uid="{00000000-0005-0000-0000-0000FD030000}"/>
    <cellStyle name="_BD All Fac Weekly Status (5th Sep to 9th Sep) ' 11_JUNE '01-06-2013" xfId="1023" xr:uid="{00000000-0005-0000-0000-0000FE030000}"/>
    <cellStyle name="_BD All Fac Weekly Status (5th Sep to 9th Sep) ' 11_JUNE '29-04 JULY" xfId="1024" xr:uid="{00000000-0005-0000-0000-0000FF030000}"/>
    <cellStyle name="_BD All Fac Weekly Status (5th Sep to 9th Sep) ' 11_March'" xfId="1025" xr:uid="{00000000-0005-0000-0000-000000040000}"/>
    <cellStyle name="_BD All Fac Weekly Status (5th Sep to 9th Sep) ' 11_March'01-02-2013" xfId="1026" xr:uid="{00000000-0005-0000-0000-000001040000}"/>
    <cellStyle name="_BD All Fac Weekly Status (5th Sep to 9th Sep) ' 11_May '01-05-2013" xfId="1027" xr:uid="{00000000-0005-0000-0000-000002040000}"/>
    <cellStyle name="_BD All Fac Weekly Status (5th Sep to 9th Sep) ' 11_October '01-10-2013" xfId="1028" xr:uid="{00000000-0005-0000-0000-000003040000}"/>
    <cellStyle name="_BD All Fac Weekly Status (5th Sep to 9th Sep) ' 11_Sep-oct" xfId="1029" xr:uid="{00000000-0005-0000-0000-000004040000}"/>
    <cellStyle name="_BD All Fac Weekly Status (5th Sep to 9th Sep) ' 11_September '01-09-2013" xfId="1030" xr:uid="{00000000-0005-0000-0000-000005040000}"/>
    <cellStyle name="_BD All Fac Weekly Status (5th Sep to 9th Sep) ' 11_Weekly prdn" xfId="1031" xr:uid="{00000000-0005-0000-0000-000006040000}"/>
    <cellStyle name="_BD All Fac Weekly Status (6th August to 12th August) ' 111" xfId="1032" xr:uid="{00000000-0005-0000-0000-000007040000}"/>
    <cellStyle name="_BD All Fac Weekly Status (6th August to 12th August) ' 111_27- JULY- 01 AUG" xfId="1033" xr:uid="{00000000-0005-0000-0000-000008040000}"/>
    <cellStyle name="_BD All Fac Weekly Status (6th August to 12th August) ' 111_April'01-04-2013" xfId="1034" xr:uid="{00000000-0005-0000-0000-000009040000}"/>
    <cellStyle name="_BD All Fac Weekly Status (6th August to 12th August) ' 111_aPRIL-29-02 mAY" xfId="1035" xr:uid="{00000000-0005-0000-0000-00000A040000}"/>
    <cellStyle name="_BD All Fac Weekly Status (6th August to 12th August) ' 111_August '01-08-2013" xfId="1036" xr:uid="{00000000-0005-0000-0000-00000B040000}"/>
    <cellStyle name="_BD All Fac Weekly Status (6th August to 12th August) ' 111_BD All Fac Weekly Eff% Status (11th Aug to 17th Aug) ' 12" xfId="1037" xr:uid="{00000000-0005-0000-0000-00000C040000}"/>
    <cellStyle name="_BD All Fac Weekly Status (6th August to 12th August) ' 111_BD All Fac Weekly Eff% Status (14th July to 20th July) ' 12" xfId="1038" xr:uid="{00000000-0005-0000-0000-00000D040000}"/>
    <cellStyle name="_BD All Fac Weekly Status (6th August to 12th August) ' 111_BD All Fac Weekly Eff% Status (22nd Sep to 28th Sep) ' 12" xfId="1039" xr:uid="{00000000-0005-0000-0000-00000E040000}"/>
    <cellStyle name="_BD All Fac Weekly Status (6th August to 12th August) ' 111_BD All Fac Weekly Eff% Status (2nd June to 8th June) ' 12" xfId="1040" xr:uid="{00000000-0005-0000-0000-00000F040000}"/>
    <cellStyle name="_BD All Fac Weekly Status (6th August to 12th August) ' 111_BD All Fac Weekly Eff% Status (30th Mar -5th Apr) ' 13" xfId="1041" xr:uid="{00000000-0005-0000-0000-000010040000}"/>
    <cellStyle name="_BD All Fac Weekly Status (6th August to 12th August) ' 111_BD All Fac Weekly Eff% Status (3rd Nov to 9th Nov) ' 12" xfId="1042" xr:uid="{00000000-0005-0000-0000-000011040000}"/>
    <cellStyle name="_BD All Fac Weekly Status (6th August to 12th August) ' 111_BD All Fac Weekly Eff% Status (6th Oct to 12th Oct) ' 12" xfId="1043" xr:uid="{00000000-0005-0000-0000-000012040000}"/>
    <cellStyle name="_BD All Fac Weekly Status (6th August to 12th August) ' 111_December'01-12-201213 Anima" xfId="1044" xr:uid="{00000000-0005-0000-0000-000013040000}"/>
    <cellStyle name="_BD All Fac Weekly Status (6th August to 12th August) ' 111_February'01-02-2013" xfId="1045" xr:uid="{00000000-0005-0000-0000-000014040000}"/>
    <cellStyle name="_BD All Fac Weekly Status (6th August to 12th August) ' 111_January'01-01-2013" xfId="1046" xr:uid="{00000000-0005-0000-0000-000015040000}"/>
    <cellStyle name="_BD All Fac Weekly Status (6th August to 12th August) ' 111_JULY '01-07-2013" xfId="1047" xr:uid="{00000000-0005-0000-0000-000016040000}"/>
    <cellStyle name="_BD All Fac Weekly Status (6th August to 12th August) ' 111_JUNE '01-06-2013" xfId="1048" xr:uid="{00000000-0005-0000-0000-000017040000}"/>
    <cellStyle name="_BD All Fac Weekly Status (6th August to 12th August) ' 111_JUNE '29-04 JULY" xfId="1049" xr:uid="{00000000-0005-0000-0000-000018040000}"/>
    <cellStyle name="_BD All Fac Weekly Status (6th August to 12th August) ' 111_March'" xfId="1050" xr:uid="{00000000-0005-0000-0000-000019040000}"/>
    <cellStyle name="_BD All Fac Weekly Status (6th August to 12th August) ' 111_March'01-02-2013" xfId="1051" xr:uid="{00000000-0005-0000-0000-00001A040000}"/>
    <cellStyle name="_BD All Fac Weekly Status (6th August to 12th August) ' 111_May '01-05-2013" xfId="1052" xr:uid="{00000000-0005-0000-0000-00001B040000}"/>
    <cellStyle name="_BD All Fac Weekly Status (6th August to 12th August) ' 111_October '01-10-2013" xfId="1053" xr:uid="{00000000-0005-0000-0000-00001C040000}"/>
    <cellStyle name="_BD All Fac Weekly Status (6th August to 12th August) ' 111_Sep-oct" xfId="1054" xr:uid="{00000000-0005-0000-0000-00001D040000}"/>
    <cellStyle name="_BD All Fac Weekly Status (6th August to 12th August) ' 111_September '01-09-2013" xfId="1055" xr:uid="{00000000-0005-0000-0000-00001E040000}"/>
    <cellStyle name="_BD All Fac Weekly Status (6th August to 12th August) ' 111_Weekly prdn" xfId="1056" xr:uid="{00000000-0005-0000-0000-00001F040000}"/>
    <cellStyle name="_BD All Fac Weekly Status (7th May to 13th May) ' 11" xfId="1057" xr:uid="{00000000-0005-0000-0000-000020040000}"/>
    <cellStyle name="_BD All Fac Weekly Status (7th May to 13th May) ' 11_27- JULY- 01 AUG" xfId="1058" xr:uid="{00000000-0005-0000-0000-000021040000}"/>
    <cellStyle name="_BD All Fac Weekly Status (7th May to 13th May) ' 11_April'01-04-2013" xfId="1059" xr:uid="{00000000-0005-0000-0000-000022040000}"/>
    <cellStyle name="_BD All Fac Weekly Status (7th May to 13th May) ' 11_aPRIL-29-02 mAY" xfId="1060" xr:uid="{00000000-0005-0000-0000-000023040000}"/>
    <cellStyle name="_BD All Fac Weekly Status (7th May to 13th May) ' 11_August '01-08-2013" xfId="1061" xr:uid="{00000000-0005-0000-0000-000024040000}"/>
    <cellStyle name="_BD All Fac Weekly Status (7th May to 13th May) ' 11_BD All Fac Weekly Eff% Status (11th Aug to 17th Aug) ' 12" xfId="1062" xr:uid="{00000000-0005-0000-0000-000025040000}"/>
    <cellStyle name="_BD All Fac Weekly Status (7th May to 13th May) ' 11_BD All Fac Weekly Eff% Status (14th July to 20th July) ' 12" xfId="1063" xr:uid="{00000000-0005-0000-0000-000026040000}"/>
    <cellStyle name="_BD All Fac Weekly Status (7th May to 13th May) ' 11_BD All Fac Weekly Eff% Status (22nd Sep to 28th Sep) ' 12" xfId="1064" xr:uid="{00000000-0005-0000-0000-000027040000}"/>
    <cellStyle name="_BD All Fac Weekly Status (7th May to 13th May) ' 11_BD All Fac Weekly Eff% Status (2nd June to 8th June) ' 12" xfId="1065" xr:uid="{00000000-0005-0000-0000-000028040000}"/>
    <cellStyle name="_BD All Fac Weekly Status (7th May to 13th May) ' 11_BD All Fac Weekly Eff% Status (30th Mar -5th Apr) ' 13" xfId="1066" xr:uid="{00000000-0005-0000-0000-000029040000}"/>
    <cellStyle name="_BD All Fac Weekly Status (7th May to 13th May) ' 11_BD All Fac Weekly Eff% Status (3rd Nov to 9th Nov) ' 12" xfId="1067" xr:uid="{00000000-0005-0000-0000-00002A040000}"/>
    <cellStyle name="_BD All Fac Weekly Status (7th May to 13th May) ' 11_BD All Fac Weekly Eff% Status (6th Oct to 12th Oct) ' 12" xfId="1068" xr:uid="{00000000-0005-0000-0000-00002B040000}"/>
    <cellStyle name="_BD All Fac Weekly Status (7th May to 13th May) ' 11_December'01-12-201213 Anima" xfId="1069" xr:uid="{00000000-0005-0000-0000-00002C040000}"/>
    <cellStyle name="_BD All Fac Weekly Status (7th May to 13th May) ' 11_February'01-02-2013" xfId="1070" xr:uid="{00000000-0005-0000-0000-00002D040000}"/>
    <cellStyle name="_BD All Fac Weekly Status (7th May to 13th May) ' 11_January'01-01-2013" xfId="1071" xr:uid="{00000000-0005-0000-0000-00002E040000}"/>
    <cellStyle name="_BD All Fac Weekly Status (7th May to 13th May) ' 11_JULY '01-07-2013" xfId="1072" xr:uid="{00000000-0005-0000-0000-00002F040000}"/>
    <cellStyle name="_BD All Fac Weekly Status (7th May to 13th May) ' 11_JUNE '01-06-2013" xfId="1073" xr:uid="{00000000-0005-0000-0000-000030040000}"/>
    <cellStyle name="_BD All Fac Weekly Status (7th May to 13th May) ' 11_JUNE '29-04 JULY" xfId="1074" xr:uid="{00000000-0005-0000-0000-000031040000}"/>
    <cellStyle name="_BD All Fac Weekly Status (7th May to 13th May) ' 11_March'" xfId="1075" xr:uid="{00000000-0005-0000-0000-000032040000}"/>
    <cellStyle name="_BD All Fac Weekly Status (7th May to 13th May) ' 11_March'01-02-2013" xfId="1076" xr:uid="{00000000-0005-0000-0000-000033040000}"/>
    <cellStyle name="_BD All Fac Weekly Status (7th May to 13th May) ' 11_May '01-05-2013" xfId="1077" xr:uid="{00000000-0005-0000-0000-000034040000}"/>
    <cellStyle name="_BD All Fac Weekly Status (7th May to 13th May) ' 11_October '01-10-2013" xfId="1078" xr:uid="{00000000-0005-0000-0000-000035040000}"/>
    <cellStyle name="_BD All Fac Weekly Status (7th May to 13th May) ' 11_Sep-oct" xfId="1079" xr:uid="{00000000-0005-0000-0000-000036040000}"/>
    <cellStyle name="_BD All Fac Weekly Status (7th May to 13th May) ' 11_September '01-09-2013" xfId="1080" xr:uid="{00000000-0005-0000-0000-000037040000}"/>
    <cellStyle name="_BD All Fac Weekly Status (7th May to 13th May) ' 11_Weekly prdn" xfId="1081" xr:uid="{00000000-0005-0000-0000-000038040000}"/>
    <cellStyle name="_BD All Fac Weekly Status (9th July to 15th July) ' 11" xfId="1082" xr:uid="{00000000-0005-0000-0000-000039040000}"/>
    <cellStyle name="_BD All Fac Weekly Status (9th July to 15th July) ' 11_27- JULY- 01 AUG" xfId="1083" xr:uid="{00000000-0005-0000-0000-00003A040000}"/>
    <cellStyle name="_BD All Fac Weekly Status (9th July to 15th July) ' 11_April'01-04-2013" xfId="1084" xr:uid="{00000000-0005-0000-0000-00003B040000}"/>
    <cellStyle name="_BD All Fac Weekly Status (9th July to 15th July) ' 11_aPRIL-29-02 mAY" xfId="1085" xr:uid="{00000000-0005-0000-0000-00003C040000}"/>
    <cellStyle name="_BD All Fac Weekly Status (9th July to 15th July) ' 11_August '01-08-2013" xfId="1086" xr:uid="{00000000-0005-0000-0000-00003D040000}"/>
    <cellStyle name="_BD All Fac Weekly Status (9th July to 15th July) ' 11_BD All Fac Weekly Eff% Status (11th Aug to 17th Aug) ' 12" xfId="1087" xr:uid="{00000000-0005-0000-0000-00003E040000}"/>
    <cellStyle name="_BD All Fac Weekly Status (9th July to 15th July) ' 11_BD All Fac Weekly Eff% Status (14th July to 20th July) ' 12" xfId="1088" xr:uid="{00000000-0005-0000-0000-00003F040000}"/>
    <cellStyle name="_BD All Fac Weekly Status (9th July to 15th July) ' 11_BD All Fac Weekly Eff% Status (22nd Sep to 28th Sep) ' 12" xfId="1089" xr:uid="{00000000-0005-0000-0000-000040040000}"/>
    <cellStyle name="_BD All Fac Weekly Status (9th July to 15th July) ' 11_BD All Fac Weekly Eff% Status (2nd June to 8th June) ' 12" xfId="1090" xr:uid="{00000000-0005-0000-0000-000041040000}"/>
    <cellStyle name="_BD All Fac Weekly Status (9th July to 15th July) ' 11_BD All Fac Weekly Eff% Status (30th Mar -5th Apr) ' 13" xfId="1091" xr:uid="{00000000-0005-0000-0000-000042040000}"/>
    <cellStyle name="_BD All Fac Weekly Status (9th July to 15th July) ' 11_BD All Fac Weekly Eff% Status (3rd Nov to 9th Nov) ' 12" xfId="1092" xr:uid="{00000000-0005-0000-0000-000043040000}"/>
    <cellStyle name="_BD All Fac Weekly Status (9th July to 15th July) ' 11_BD All Fac Weekly Eff% Status (6th Oct to 12th Oct) ' 12" xfId="1093" xr:uid="{00000000-0005-0000-0000-000044040000}"/>
    <cellStyle name="_BD All Fac Weekly Status (9th July to 15th July) ' 11_December'01-12-201213 Anima" xfId="1094" xr:uid="{00000000-0005-0000-0000-000045040000}"/>
    <cellStyle name="_BD All Fac Weekly Status (9th July to 15th July) ' 11_February'01-02-2013" xfId="1095" xr:uid="{00000000-0005-0000-0000-000046040000}"/>
    <cellStyle name="_BD All Fac Weekly Status (9th July to 15th July) ' 11_January'01-01-2013" xfId="1096" xr:uid="{00000000-0005-0000-0000-000047040000}"/>
    <cellStyle name="_BD All Fac Weekly Status (9th July to 15th July) ' 11_JULY '01-07-2013" xfId="1097" xr:uid="{00000000-0005-0000-0000-000048040000}"/>
    <cellStyle name="_BD All Fac Weekly Status (9th July to 15th July) ' 11_JUNE '01-06-2013" xfId="1098" xr:uid="{00000000-0005-0000-0000-000049040000}"/>
    <cellStyle name="_BD All Fac Weekly Status (9th July to 15th July) ' 11_JUNE '29-04 JULY" xfId="1099" xr:uid="{00000000-0005-0000-0000-00004A040000}"/>
    <cellStyle name="_BD All Fac Weekly Status (9th July to 15th July) ' 11_March'" xfId="1100" xr:uid="{00000000-0005-0000-0000-00004B040000}"/>
    <cellStyle name="_BD All Fac Weekly Status (9th July to 15th July) ' 11_March'01-02-2013" xfId="1101" xr:uid="{00000000-0005-0000-0000-00004C040000}"/>
    <cellStyle name="_BD All Fac Weekly Status (9th July to 15th July) ' 11_May '01-05-2013" xfId="1102" xr:uid="{00000000-0005-0000-0000-00004D040000}"/>
    <cellStyle name="_BD All Fac Weekly Status (9th July to 15th July) ' 11_October '01-10-2013" xfId="1103" xr:uid="{00000000-0005-0000-0000-00004E040000}"/>
    <cellStyle name="_BD All Fac Weekly Status (9th July to 15th July) ' 11_Sep-oct" xfId="1104" xr:uid="{00000000-0005-0000-0000-00004F040000}"/>
    <cellStyle name="_BD All Fac Weekly Status (9th July to 15th July) ' 11_September '01-09-2013" xfId="1105" xr:uid="{00000000-0005-0000-0000-000050040000}"/>
    <cellStyle name="_BD All Fac Weekly Status (9th July to 15th July) ' 11_Weekly prdn" xfId="1106" xr:uid="{00000000-0005-0000-0000-000051040000}"/>
    <cellStyle name="_Book1" xfId="1107" xr:uid="{00000000-0005-0000-0000-000052040000}"/>
    <cellStyle name="_Book1 2" xfId="1108" xr:uid="{00000000-0005-0000-0000-000053040000}"/>
    <cellStyle name="_Book11" xfId="1109" xr:uid="{00000000-0005-0000-0000-000054040000}"/>
    <cellStyle name="_Book12" xfId="1110" xr:uid="{00000000-0005-0000-0000-000055040000}"/>
    <cellStyle name="_Book13" xfId="1111" xr:uid="{00000000-0005-0000-0000-000056040000}"/>
    <cellStyle name="_Book13_Style Change Over YC-7H  16~21 Aprl, 2013" xfId="1112" xr:uid="{00000000-0005-0000-0000-000057040000}"/>
    <cellStyle name="_Book13_Style Change Over YC-7H  16~21 Aprl, 2013_Base line Data-YC-15(G)" xfId="1113" xr:uid="{00000000-0005-0000-0000-000058040000}"/>
    <cellStyle name="_Book13_Style Change Over YC-7H  16~21 Aprl, 2013_Book1" xfId="1114" xr:uid="{00000000-0005-0000-0000-000059040000}"/>
    <cellStyle name="_Book13_Style Change Over YC-7H  16~21 Aprl, 2013_Style Changeover Data Information-" xfId="1115" xr:uid="{00000000-0005-0000-0000-00005A040000}"/>
    <cellStyle name="_Book13_Style Change Over YC-7H  16~21 Aprl, 2013_Style Changeover Data Information-YCL13C" xfId="1116" xr:uid="{00000000-0005-0000-0000-00005B040000}"/>
    <cellStyle name="_Book13_Style Change Over YC-9 (I)  28~02 May, 2013" xfId="1117" xr:uid="{00000000-0005-0000-0000-00005C040000}"/>
    <cellStyle name="_Book13_Style Change Over YC-9 (I)  28~02 May, 2013_Base line Data-YC-15(G)" xfId="1118" xr:uid="{00000000-0005-0000-0000-00005D040000}"/>
    <cellStyle name="_Book13_Style Change Over YC-9 (I)  28~02 May, 2013_Book1" xfId="1119" xr:uid="{00000000-0005-0000-0000-00005E040000}"/>
    <cellStyle name="_Book13_Style Change Over YC-9 (I)  28~02 May, 2013_Style Changeover Data Information-" xfId="1120" xr:uid="{00000000-0005-0000-0000-00005F040000}"/>
    <cellStyle name="_Book13_Style Change Over YC-9 (I)  28~02 May, 2013_Style Changeover Data Information-YCL13C" xfId="1121" xr:uid="{00000000-0005-0000-0000-000060040000}"/>
    <cellStyle name="_Book2" xfId="1122" xr:uid="{00000000-0005-0000-0000-000061040000}"/>
    <cellStyle name="_BP FALL 2009 Order list" xfId="1123" xr:uid="{00000000-0005-0000-0000-000062040000}"/>
    <cellStyle name="_BP FALL 2009 Order list_Base Line Data YC-8(C)" xfId="1124" xr:uid="{00000000-0005-0000-0000-000063040000}"/>
    <cellStyle name="_BP FALL 2009 Order list_Base line Data-YC-15(G)" xfId="1125" xr:uid="{00000000-0005-0000-0000-000064040000}"/>
    <cellStyle name="_BP FALL 2009 Order list_Book1" xfId="1126" xr:uid="{00000000-0005-0000-0000-000065040000}"/>
    <cellStyle name="_BP FALL 2009 Order list_GMC &amp; YSP SMV Reduction Report1" xfId="1127" xr:uid="{00000000-0005-0000-0000-000066040000}"/>
    <cellStyle name="_BP FALL 2009 Order list_GMC &amp; YSP SMV Reduction Report1_Base Line Data YC-8(C)" xfId="1128" xr:uid="{00000000-0005-0000-0000-000067040000}"/>
    <cellStyle name="_BP FALL 2009 Order list_GMC &amp; YSP SMV Reduction Report1_Base line Data-YC-15(G)" xfId="1129" xr:uid="{00000000-0005-0000-0000-000068040000}"/>
    <cellStyle name="_BP FALL 2009 Order list_GMC &amp; YSP SMV Reduction Report1_Book1" xfId="1130" xr:uid="{00000000-0005-0000-0000-000069040000}"/>
    <cellStyle name="_BP FALL 2009 Order list_GMC &amp; YSP SMV Reduction Report1_MDT" xfId="1131" xr:uid="{00000000-0005-0000-0000-00006A040000}"/>
    <cellStyle name="_BP FALL 2009 Order list_GMC &amp; YSP SMV Reduction Report1_SQDC Board format (revised)-2013" xfId="1132" xr:uid="{00000000-0005-0000-0000-00006B040000}"/>
    <cellStyle name="_BP FALL 2009 Order list_MDT" xfId="1133" xr:uid="{00000000-0005-0000-0000-00006C040000}"/>
    <cellStyle name="_BP FALL 2009 Order list_Qingdao Youngone GSD Reduced report" xfId="1134" xr:uid="{00000000-0005-0000-0000-00006D040000}"/>
    <cellStyle name="_BP FALL 2009 Order list_SQDC Board format (revised)-2013" xfId="1135" xr:uid="{00000000-0005-0000-0000-00006E040000}"/>
    <cellStyle name="_CHANGE OVER_Data Information2" xfId="1136" xr:uid="{00000000-0005-0000-0000-00006F040000}"/>
    <cellStyle name="_CHANGE OVER_Data Information2_MFC BEFORE" xfId="1137" xr:uid="{00000000-0005-0000-0000-000070040000}"/>
    <cellStyle name="_CHANGE OVER_Data Information2_MFC BEFORE_After 5's" xfId="1138" xr:uid="{00000000-0005-0000-0000-000071040000}"/>
    <cellStyle name="_CHANGE OVER_Data Information2_MFC BEFORE_Base Line Data YC-8(C)" xfId="1139" xr:uid="{00000000-0005-0000-0000-000072040000}"/>
    <cellStyle name="_CHANGE OVER_Data Information2_MFC BEFORE_Base line Data-YC-15(G)" xfId="1140" xr:uid="{00000000-0005-0000-0000-000073040000}"/>
    <cellStyle name="_CHANGE OVER_Data Information2_MFC BEFORE_Book1" xfId="1141" xr:uid="{00000000-0005-0000-0000-000074040000}"/>
    <cellStyle name="_CHANGE OVER_Data Information2_MFC BEFORE_Copy of SK Raw data of SKB in Yc-6-(C) 26~31Jan '20131" xfId="1142" xr:uid="{00000000-0005-0000-0000-000075040000}"/>
    <cellStyle name="_CHANGE OVER_Data Information2_MFC BEFORE_Flow Chart YC-8(C) Before1" xfId="1143" xr:uid="{00000000-0005-0000-0000-000076040000}"/>
    <cellStyle name="_CHANGE OVER_Data Information2_MFC BEFORE_OCT Graph A1" xfId="1144" xr:uid="{00000000-0005-0000-0000-000077040000}"/>
    <cellStyle name="_CHANGE OVER_Data Information2_MFC BEFORE_peroto Chart YC-8" xfId="1145" xr:uid="{00000000-0005-0000-0000-000078040000}"/>
    <cellStyle name="_CHANGE OVER_Data Information2_MFC BEFORE_SK Raw data of SKB in Yc-8-(J) 01~05 Dec'2012" xfId="1146" xr:uid="{00000000-0005-0000-0000-000079040000}"/>
    <cellStyle name="_CHANGE OVER_Data Information2_MFC BEFORE_SK Raw data of SKB in Yc-8-(J) 01~05 Dec'2012_Base line Data-YC-15(G)" xfId="1147" xr:uid="{00000000-0005-0000-0000-00007A040000}"/>
    <cellStyle name="_CHANGE OVER_Data Information2_MFC BEFORE_SK Raw data of SKB in Yc-8-(J) 01~05 Dec'2012_Book1" xfId="1148" xr:uid="{00000000-0005-0000-0000-00007B040000}"/>
    <cellStyle name="_CHANGE OVER_Data Information2_MFC BEFORE_SK Raw data of SKB in Yc-8-(J) 01~05 Dec'2012_Style Changeover Data Information-" xfId="1149" xr:uid="{00000000-0005-0000-0000-00007C040000}"/>
    <cellStyle name="_CHANGE OVER_Data Information2_MFC BEFORE_SK Raw data of SKB in Yc-8-(J) 01~05 Dec'2012_Style Changeover Data Information-YCL13C" xfId="1150" xr:uid="{00000000-0005-0000-0000-00007D040000}"/>
    <cellStyle name="_CHANGE OVER_Data Information2_MFC BEFORE_SKB RAW DATA" xfId="1151" xr:uid="{00000000-0005-0000-0000-00007E040000}"/>
    <cellStyle name="_CHANGE OVER_Data Information2_MFC BEFORE_SKB YC-8(J)" xfId="1152" xr:uid="{00000000-0005-0000-0000-00007F040000}"/>
    <cellStyle name="_CHANGE OVER_Data Information2_MFC BEFORE_SKB(Sewing Kaizen - YCL 14 (A)" xfId="1153" xr:uid="{00000000-0005-0000-0000-000080040000}"/>
    <cellStyle name="_CHANGE OVER_Data Information2_MFC BEFORE_SQDC Board format (revised)-2013" xfId="1154" xr:uid="{00000000-0005-0000-0000-000081040000}"/>
    <cellStyle name="_CHANGE OVER_Data Information2_MFC BEFORE_Style Changeover Data Information-" xfId="1155" xr:uid="{00000000-0005-0000-0000-000082040000}"/>
    <cellStyle name="_CHANGE OVER_Data Information2_MFC BEFORE_Xl0000034" xfId="1156" xr:uid="{00000000-0005-0000-0000-000083040000}"/>
    <cellStyle name="_CHANGE OVER_Data Information2_Opt training" xfId="1157" xr:uid="{00000000-0005-0000-0000-000084040000}"/>
    <cellStyle name="_CHANGE OVER_Data Information2_Opt training_After 5's" xfId="1158" xr:uid="{00000000-0005-0000-0000-000085040000}"/>
    <cellStyle name="_CHANGE OVER_Data Information2_Opt training_Base Line Data YC-8(C)" xfId="1159" xr:uid="{00000000-0005-0000-0000-000086040000}"/>
    <cellStyle name="_CHANGE OVER_Data Information2_Opt training_Base line Data-YC-15(G)" xfId="1160" xr:uid="{00000000-0005-0000-0000-000087040000}"/>
    <cellStyle name="_CHANGE OVER_Data Information2_Opt training_Book1" xfId="1161" xr:uid="{00000000-0005-0000-0000-000088040000}"/>
    <cellStyle name="_CHANGE OVER_Data Information2_Opt training_Copy of SK Raw data of SKB in Yc-6-(C) 26~31Jan '20131" xfId="1162" xr:uid="{00000000-0005-0000-0000-000089040000}"/>
    <cellStyle name="_CHANGE OVER_Data Information2_Opt training_Flow Chart YC-8(C) Before1" xfId="1163" xr:uid="{00000000-0005-0000-0000-00008A040000}"/>
    <cellStyle name="_CHANGE OVER_Data Information2_Opt training_MFC(Yc 10C)" xfId="1164" xr:uid="{00000000-0005-0000-0000-00008B040000}"/>
    <cellStyle name="_CHANGE OVER_Data Information2_Opt training_OCT Graph A1" xfId="1165" xr:uid="{00000000-0005-0000-0000-00008C040000}"/>
    <cellStyle name="_CHANGE OVER_Data Information2_Opt training_peroto Chart YC-8" xfId="1166" xr:uid="{00000000-0005-0000-0000-00008D040000}"/>
    <cellStyle name="_CHANGE OVER_Data Information2_Opt training_SK Raw data of SKB in Yc-8-(J) 01~05 Dec'2012" xfId="1167" xr:uid="{00000000-0005-0000-0000-00008E040000}"/>
    <cellStyle name="_CHANGE OVER_Data Information2_Opt training_SK Raw data of SKB in Yc-8-(J) 01~05 Dec'2012_Base line Data-YC-15(G)" xfId="1168" xr:uid="{00000000-0005-0000-0000-00008F040000}"/>
    <cellStyle name="_CHANGE OVER_Data Information2_Opt training_SK Raw data of SKB in Yc-8-(J) 01~05 Dec'2012_Book1" xfId="1169" xr:uid="{00000000-0005-0000-0000-000090040000}"/>
    <cellStyle name="_CHANGE OVER_Data Information2_Opt training_SK Raw data of SKB in Yc-8-(J) 01~05 Dec'2012_Style Changeover Data Information-" xfId="1170" xr:uid="{00000000-0005-0000-0000-000091040000}"/>
    <cellStyle name="_CHANGE OVER_Data Information2_Opt training_SK Raw data of SKB in Yc-8-(J) 01~05 Dec'2012_Style Changeover Data Information-YCL13C" xfId="1171" xr:uid="{00000000-0005-0000-0000-000092040000}"/>
    <cellStyle name="_CHANGE OVER_Data Information2_Opt training_SKB RAW DATA" xfId="1172" xr:uid="{00000000-0005-0000-0000-000093040000}"/>
    <cellStyle name="_CHANGE OVER_Data Information2_Opt training_SKB YC-8(J)" xfId="1173" xr:uid="{00000000-0005-0000-0000-000094040000}"/>
    <cellStyle name="_CHANGE OVER_Data Information2_Opt training_SKB(Sewing Kaizen - YCL 14 (A)" xfId="1174" xr:uid="{00000000-0005-0000-0000-000095040000}"/>
    <cellStyle name="_CHANGE OVER_Data Information2_Opt training_SQDC Board format (revised)-2013" xfId="1175" xr:uid="{00000000-0005-0000-0000-000096040000}"/>
    <cellStyle name="_CHANGE OVER_Data Information2_Opt training_Style Change Over YC-6 E 23~227 Mar, 2013" xfId="1176" xr:uid="{00000000-0005-0000-0000-000097040000}"/>
    <cellStyle name="_CHANGE OVER_Data Information2_Opt training_Style Change Over YC-7H  16~21 Aprl, 2013" xfId="1177" xr:uid="{00000000-0005-0000-0000-000098040000}"/>
    <cellStyle name="_CHANGE OVER_Data Information2_Opt training_Style Changeover Data Information-" xfId="1178" xr:uid="{00000000-0005-0000-0000-000099040000}"/>
    <cellStyle name="_CHANGE OVER_Data Information2_Opt training_Xl0000034" xfId="1179" xr:uid="{00000000-0005-0000-0000-00009A040000}"/>
    <cellStyle name="_CHANGE OVER_Data Information2_Style Change Over YC-8J 11~16 Feb 2012" xfId="1180" xr:uid="{00000000-0005-0000-0000-00009B040000}"/>
    <cellStyle name="_CHANGE OVER_Data Information2_YCL - 8 (H) ~ Changeover -Raw data(16 Feb~22 Feb,12)" xfId="1181" xr:uid="{00000000-0005-0000-0000-00009C040000}"/>
    <cellStyle name="_CHANGE OVER_Data Information2_YCL- 8 E+MOD~ Changeover -Raw data(3rd April to 7th April )" xfId="1182" xr:uid="{00000000-0005-0000-0000-00009D040000}"/>
    <cellStyle name="_CHANGE OVER_Data Information2_YCL- 8 E+MOD~ Changeover -Raw data(3rd April to 7th April )_After 5's" xfId="1183" xr:uid="{00000000-0005-0000-0000-00009E040000}"/>
    <cellStyle name="_CHANGE OVER_Data Information2_YCL- 8 E+MOD~ Changeover -Raw data(3rd April to 7th April )_Base Line Data YC-8(C)" xfId="1184" xr:uid="{00000000-0005-0000-0000-00009F040000}"/>
    <cellStyle name="_CHANGE OVER_Data Information2_YCL- 8 E+MOD~ Changeover -Raw data(3rd April to 7th April )_Base line Data-YC-15(G)" xfId="1185" xr:uid="{00000000-0005-0000-0000-0000A0040000}"/>
    <cellStyle name="_CHANGE OVER_Data Information2_YCL- 8 E+MOD~ Changeover -Raw data(3rd April to 7th April )_Book1" xfId="1186" xr:uid="{00000000-0005-0000-0000-0000A1040000}"/>
    <cellStyle name="_CHANGE OVER_Data Information2_YCL- 8 E+MOD~ Changeover -Raw data(3rd April to 7th April )_Copy of SK Raw data of SKB in Yc-6-(C) 26~31Jan '20131" xfId="1187" xr:uid="{00000000-0005-0000-0000-0000A2040000}"/>
    <cellStyle name="_CHANGE OVER_Data Information2_YCL- 8 E+MOD~ Changeover -Raw data(3rd April to 7th April )_Flow Chart YC-8(C) Before1" xfId="1188" xr:uid="{00000000-0005-0000-0000-0000A3040000}"/>
    <cellStyle name="_CHANGE OVER_Data Information2_YCL- 8 E+MOD~ Changeover -Raw data(3rd April to 7th April )_MFC(Yc 10C)" xfId="1189" xr:uid="{00000000-0005-0000-0000-0000A4040000}"/>
    <cellStyle name="_CHANGE OVER_Data Information2_YCL- 8 E+MOD~ Changeover -Raw data(3rd April to 7th April )_OCT Graph A1" xfId="1190" xr:uid="{00000000-0005-0000-0000-0000A5040000}"/>
    <cellStyle name="_CHANGE OVER_Data Information2_YCL- 8 E+MOD~ Changeover -Raw data(3rd April to 7th April )_peroto Chart YC-8" xfId="1191" xr:uid="{00000000-0005-0000-0000-0000A6040000}"/>
    <cellStyle name="_CHANGE OVER_Data Information2_YCL- 8 E+MOD~ Changeover -Raw data(3rd April to 7th April )_SK Raw data of SKB in Yc-8-(J) 01~05 Dec'2012" xfId="1192" xr:uid="{00000000-0005-0000-0000-0000A7040000}"/>
    <cellStyle name="_CHANGE OVER_Data Information2_YCL- 8 E+MOD~ Changeover -Raw data(3rd April to 7th April )_SK Raw data of SKB in Yc-8-(J) 01~05 Dec'2012_Base line Data-YC-15(G)" xfId="1193" xr:uid="{00000000-0005-0000-0000-0000A8040000}"/>
    <cellStyle name="_CHANGE OVER_Data Information2_YCL- 8 E+MOD~ Changeover -Raw data(3rd April to 7th April )_SK Raw data of SKB in Yc-8-(J) 01~05 Dec'2012_Book1" xfId="1194" xr:uid="{00000000-0005-0000-0000-0000A9040000}"/>
    <cellStyle name="_CHANGE OVER_Data Information2_YCL- 8 E+MOD~ Changeover -Raw data(3rd April to 7th April )_SK Raw data of SKB in Yc-8-(J) 01~05 Dec'2012_Style Changeover Data Information-" xfId="1195" xr:uid="{00000000-0005-0000-0000-0000AA040000}"/>
    <cellStyle name="_CHANGE OVER_Data Information2_YCL- 8 E+MOD~ Changeover -Raw data(3rd April to 7th April )_SK Raw data of SKB in Yc-8-(J) 01~05 Dec'2012_Style Changeover Data Information-YCL13C" xfId="1196" xr:uid="{00000000-0005-0000-0000-0000AB040000}"/>
    <cellStyle name="_CHANGE OVER_Data Information2_YCL- 8 E+MOD~ Changeover -Raw data(3rd April to 7th April )_SKB RAW DATA" xfId="1197" xr:uid="{00000000-0005-0000-0000-0000AC040000}"/>
    <cellStyle name="_CHANGE OVER_Data Information2_YCL- 8 E+MOD~ Changeover -Raw data(3rd April to 7th April )_SKB YC-8(J)" xfId="1198" xr:uid="{00000000-0005-0000-0000-0000AD040000}"/>
    <cellStyle name="_CHANGE OVER_Data Information2_YCL- 8 E+MOD~ Changeover -Raw data(3rd April to 7th April )_SKB(Sewing Kaizen - YCL 14 (A)" xfId="1199" xr:uid="{00000000-0005-0000-0000-0000AE040000}"/>
    <cellStyle name="_CHANGE OVER_Data Information2_YCL- 8 E+MOD~ Changeover -Raw data(3rd April to 7th April )_SQDC Board format (revised)-2013" xfId="1200" xr:uid="{00000000-0005-0000-0000-0000AF040000}"/>
    <cellStyle name="_CHANGE OVER_Data Information2_YCL- 8 E+MOD~ Changeover -Raw data(3rd April to 7th April )_Style Change Over YC-6 E 23~227 Mar, 2013" xfId="1201" xr:uid="{00000000-0005-0000-0000-0000B0040000}"/>
    <cellStyle name="_CHANGE OVER_Data Information2_YCL- 8 E+MOD~ Changeover -Raw data(3rd April to 7th April )_Style Change Over YC-7H  16~21 Aprl, 2013" xfId="1202" xr:uid="{00000000-0005-0000-0000-0000B1040000}"/>
    <cellStyle name="_CHANGE OVER_Data Information2_YCL- 8 E+MOD~ Changeover -Raw data(3rd April to 7th April )_Style Changeover Data Information-" xfId="1203" xr:uid="{00000000-0005-0000-0000-0000B2040000}"/>
    <cellStyle name="_CHANGE OVER_Data Information2_YCL- 8 E+MOD~ Changeover -Raw data(3rd April to 7th April )_Xl0000034" xfId="1204" xr:uid="{00000000-0005-0000-0000-0000B3040000}"/>
    <cellStyle name="_Copy of Lsl Daily Prdn Report September '09(Eff%)" xfId="1205" xr:uid="{00000000-0005-0000-0000-0000B4040000}"/>
    <cellStyle name="_Copy of Lsl Daily Prdn Report September '09(Eff%) 2" xfId="1206" xr:uid="{00000000-0005-0000-0000-0000B5040000}"/>
    <cellStyle name="_Copy of Weekly efficiency graph'09(Wor 2-)" xfId="1207" xr:uid="{00000000-0005-0000-0000-0000B6040000}"/>
    <cellStyle name="_Copy of Weekly efficiency graph'09(Wor 2-) 2" xfId="1208" xr:uid="{00000000-0005-0000-0000-0000B7040000}"/>
    <cellStyle name="_Copy of Weekly efficiency graph'09(Wor 2-)1" xfId="1209" xr:uid="{00000000-0005-0000-0000-0000B8040000}"/>
    <cellStyle name="_Copy of Weekly efficiency graph'09(Wor 2-)1 2" xfId="1210" xr:uid="{00000000-0005-0000-0000-0000B9040000}"/>
    <cellStyle name="_Copy of Weekly efficiency graph'09(Wor 2-)2" xfId="1211" xr:uid="{00000000-0005-0000-0000-0000BA040000}"/>
    <cellStyle name="_Copy of Weekly efficiency graph'09(Wor 2-)2 2" xfId="1212" xr:uid="{00000000-0005-0000-0000-0000BB040000}"/>
    <cellStyle name="_Copy of Weekly efficiency graph'09(Wor 2-)3" xfId="1213" xr:uid="{00000000-0005-0000-0000-0000BC040000}"/>
    <cellStyle name="_Copy of Weekly efficiency graph'09(Wor 2-)3 2" xfId="1214" xr:uid="{00000000-0005-0000-0000-0000BD040000}"/>
    <cellStyle name="_CTG All Fac Weekly Status (12th Sep to 18th Sep) ' 09" xfId="1215" xr:uid="{00000000-0005-0000-0000-0000BE040000}"/>
    <cellStyle name="_CTG All Fac Weekly Status (12th Sep to 18th Sep) ' 09_27- JULY- 01 AUG" xfId="1216" xr:uid="{00000000-0005-0000-0000-0000BF040000}"/>
    <cellStyle name="_CTG All Fac Weekly Status (12th Sep to 18th Sep) ' 09_April'01-04-2013" xfId="1217" xr:uid="{00000000-0005-0000-0000-0000C0040000}"/>
    <cellStyle name="_CTG All Fac Weekly Status (12th Sep to 18th Sep) ' 09_aPRIL-29-02 mAY" xfId="1218" xr:uid="{00000000-0005-0000-0000-0000C1040000}"/>
    <cellStyle name="_CTG All Fac Weekly Status (12th Sep to 18th Sep) ' 09_August '01-08-2013" xfId="1219" xr:uid="{00000000-0005-0000-0000-0000C2040000}"/>
    <cellStyle name="_CTG All Fac Weekly Status (12th Sep to 18th Sep) ' 09_BD All Fac Weekly Eff% Status (11th Aug to 17th Aug) ' 12" xfId="1220" xr:uid="{00000000-0005-0000-0000-0000C3040000}"/>
    <cellStyle name="_CTG All Fac Weekly Status (12th Sep to 18th Sep) ' 09_BD All Fac Weekly Eff% Status (14th July to 20th July) ' 12" xfId="1221" xr:uid="{00000000-0005-0000-0000-0000C4040000}"/>
    <cellStyle name="_CTG All Fac Weekly Status (12th Sep to 18th Sep) ' 09_BD All Fac Weekly Eff% Status (22nd Sep to 28th Sep) ' 12" xfId="1222" xr:uid="{00000000-0005-0000-0000-0000C5040000}"/>
    <cellStyle name="_CTG All Fac Weekly Status (12th Sep to 18th Sep) ' 09_BD All Fac Weekly Eff% Status (2nd June to 8th June) ' 12" xfId="1223" xr:uid="{00000000-0005-0000-0000-0000C6040000}"/>
    <cellStyle name="_CTG All Fac Weekly Status (12th Sep to 18th Sep) ' 09_BD All Fac Weekly Eff% Status (30th Mar -5th Apr) ' 13" xfId="1224" xr:uid="{00000000-0005-0000-0000-0000C7040000}"/>
    <cellStyle name="_CTG All Fac Weekly Status (12th Sep to 18th Sep) ' 09_BD All Fac Weekly Eff% Status (3rd Nov to 9th Nov) ' 12" xfId="1225" xr:uid="{00000000-0005-0000-0000-0000C8040000}"/>
    <cellStyle name="_CTG All Fac Weekly Status (12th Sep to 18th Sep) ' 09_BD All Fac Weekly Eff% Status (6th Oct to 12th Oct) ' 12" xfId="1226" xr:uid="{00000000-0005-0000-0000-0000C9040000}"/>
    <cellStyle name="_CTG All Fac Weekly Status (12th Sep to 18th Sep) ' 09_December'01-12-201213 Anima" xfId="1227" xr:uid="{00000000-0005-0000-0000-0000CA040000}"/>
    <cellStyle name="_CTG All Fac Weekly Status (12th Sep to 18th Sep) ' 09_February'01-02-2013" xfId="1228" xr:uid="{00000000-0005-0000-0000-0000CB040000}"/>
    <cellStyle name="_CTG All Fac Weekly Status (12th Sep to 18th Sep) ' 09_January'01-01-2013" xfId="1229" xr:uid="{00000000-0005-0000-0000-0000CC040000}"/>
    <cellStyle name="_CTG All Fac Weekly Status (12th Sep to 18th Sep) ' 09_JULY '01-07-2013" xfId="1230" xr:uid="{00000000-0005-0000-0000-0000CD040000}"/>
    <cellStyle name="_CTG All Fac Weekly Status (12th Sep to 18th Sep) ' 09_JUNE '01-06-2013" xfId="1231" xr:uid="{00000000-0005-0000-0000-0000CE040000}"/>
    <cellStyle name="_CTG All Fac Weekly Status (12th Sep to 18th Sep) ' 09_JUNE '29-04 JULY" xfId="1232" xr:uid="{00000000-0005-0000-0000-0000CF040000}"/>
    <cellStyle name="_CTG All Fac Weekly Status (12th Sep to 18th Sep) ' 09_March'" xfId="1233" xr:uid="{00000000-0005-0000-0000-0000D0040000}"/>
    <cellStyle name="_CTG All Fac Weekly Status (12th Sep to 18th Sep) ' 09_March'01-02-2013" xfId="1234" xr:uid="{00000000-0005-0000-0000-0000D1040000}"/>
    <cellStyle name="_CTG All Fac Weekly Status (12th Sep to 18th Sep) ' 09_May '01-05-2013" xfId="1235" xr:uid="{00000000-0005-0000-0000-0000D2040000}"/>
    <cellStyle name="_CTG All Fac Weekly Status (12th Sep to 18th Sep) ' 09_New Format December-2012" xfId="1236" xr:uid="{00000000-0005-0000-0000-0000D3040000}"/>
    <cellStyle name="_CTG All Fac Weekly Status (12th Sep to 18th Sep) ' 09_New Format Feb-2013" xfId="1237" xr:uid="{00000000-0005-0000-0000-0000D4040000}"/>
    <cellStyle name="_CTG All Fac Weekly Status (12th Sep to 18th Sep) ' 09_New Format February-2013" xfId="1238" xr:uid="{00000000-0005-0000-0000-0000D5040000}"/>
    <cellStyle name="_CTG All Fac Weekly Status (12th Sep to 18th Sep) ' 09_New Format November-2012" xfId="1239" xr:uid="{00000000-0005-0000-0000-0000D6040000}"/>
    <cellStyle name="_CTG All Fac Weekly Status (12th Sep to 18th Sep) ' 09_October '01-10-2013" xfId="1240" xr:uid="{00000000-0005-0000-0000-0000D7040000}"/>
    <cellStyle name="_CTG All Fac Weekly Status (12th Sep to 18th Sep) ' 09_Sep-oct" xfId="1241" xr:uid="{00000000-0005-0000-0000-0000D8040000}"/>
    <cellStyle name="_CTG All Fac Weekly Status (12th Sep to 18th Sep) ' 09_September '01-09-2013" xfId="1242" xr:uid="{00000000-0005-0000-0000-0000D9040000}"/>
    <cellStyle name="_CTG All Fac Weekly Status (12th Sep to 18th Sep) ' 09_Weekly prdn" xfId="1243" xr:uid="{00000000-0005-0000-0000-0000DA040000}"/>
    <cellStyle name="_CTG All Fac Weekly Status (12th Sep to 18th Sep) ' 09_Weekly Status" xfId="1244" xr:uid="{00000000-0005-0000-0000-0000DB040000}"/>
    <cellStyle name="_CTG All Fac Weekly Status (12th Sep to 18th Sep) ' 09_Ycl Daily report 2012(central)" xfId="1245" xr:uid="{00000000-0005-0000-0000-0000DC040000}"/>
    <cellStyle name="_CTG All Fac Weekly Status (12th Sep to 18th Sep) ' 09_Ycl Daily report 2012(central)sf" xfId="1246" xr:uid="{00000000-0005-0000-0000-0000DD040000}"/>
    <cellStyle name="_CTG All Fac Weekly Status (12th Sep to 18th Sep) ' 09_Ysl Weekly Status-201228" xfId="1247" xr:uid="{00000000-0005-0000-0000-0000DE040000}"/>
    <cellStyle name="_CTG All Fac Weekly Status (12th Sep to 18th Sep) ' 09_Ysl Weekly Status-201229" xfId="1248" xr:uid="{00000000-0005-0000-0000-0000DF040000}"/>
    <cellStyle name="_CTG All Fac Weekly Status (12th Sep to 18th Sep) ' 09_Ysl Weekly Status-201230" xfId="1249" xr:uid="{00000000-0005-0000-0000-0000E0040000}"/>
    <cellStyle name="_CTG All Fac Weekly Status (12th Sep to 18th Sep) ' 09_Ysl Weekly Status-201231" xfId="1250" xr:uid="{00000000-0005-0000-0000-0000E1040000}"/>
    <cellStyle name="_CTG All Fac Weekly Status (12th Sep to 18th Sep) ' 09_Ysl Weekly Status-201233" xfId="1251" xr:uid="{00000000-0005-0000-0000-0000E2040000}"/>
    <cellStyle name="_CTG All Fac Weekly Status (12th Sep to 18th Sep) ' 09_Ysl Weekly Status-201234" xfId="1252" xr:uid="{00000000-0005-0000-0000-0000E3040000}"/>
    <cellStyle name="_CTG All Fac Weekly Status (12th Sep to 18th Sep) ' 09_Ysl Weekly Status-201235" xfId="1253" xr:uid="{00000000-0005-0000-0000-0000E4040000}"/>
    <cellStyle name="_CTG All Fac Weekly Status (12th Sep to 18th Sep) ' 09_Ysl Weekly Status-201236" xfId="1254" xr:uid="{00000000-0005-0000-0000-0000E5040000}"/>
    <cellStyle name="_CTG All Fac Weekly Status (12th Sep to 18th Sep) ' 09_Ysl Weekly Status-201237" xfId="1255" xr:uid="{00000000-0005-0000-0000-0000E6040000}"/>
    <cellStyle name="_CTG All Fac Weekly Status (12th Sep to 18th Sep) ' 09_Ysl Weekly Status-201238" xfId="1256" xr:uid="{00000000-0005-0000-0000-0000E7040000}"/>
    <cellStyle name="_CTG All Fac Weekly Status (12th Sep to 18th Sep) ' 09_Ysl Weekly Status-201239" xfId="1257" xr:uid="{00000000-0005-0000-0000-0000E8040000}"/>
    <cellStyle name="_CTG All Fac Weekly Status (12th Sep to 18th Sep) ' 09_Ysl Weekly Status-201240" xfId="1258" xr:uid="{00000000-0005-0000-0000-0000E9040000}"/>
    <cellStyle name="_CTG All Fac Weekly Status (12th Sep to 18th Sep) ' 09_Ysl Weekly Status-201241" xfId="1259" xr:uid="{00000000-0005-0000-0000-0000EA040000}"/>
    <cellStyle name="_CTG All Fac Weekly Status (12th Sep to 18th Sep) ' 09_Ysl Weekly Status-2013" xfId="1260" xr:uid="{00000000-0005-0000-0000-0000EB040000}"/>
    <cellStyle name="_CTG All Fac Weekly Status (12th Sep to 18th Sep) ' 09_Ysl Weekly Status-20131" xfId="1261" xr:uid="{00000000-0005-0000-0000-0000EC040000}"/>
    <cellStyle name="_CTG All Fac Weekly Status (12th Sep to 18th Sep) ' 09_Ysl Weekly Status-20132" xfId="1262" xr:uid="{00000000-0005-0000-0000-0000ED040000}"/>
    <cellStyle name="_CTG All Fac Weekly Status (12th Sep to 18th Sep) ' 09_Ysl Weekly Status-20133" xfId="1263" xr:uid="{00000000-0005-0000-0000-0000EE040000}"/>
    <cellStyle name="_CTG All Fac Weekly Status (12th Sep to 18th Sep) ' 09_Ysl Weekly Status-20134" xfId="1264" xr:uid="{00000000-0005-0000-0000-0000EF040000}"/>
    <cellStyle name="_CTG All Fac Weekly Status (21st Nov to 27th Nov) ' 09" xfId="1265" xr:uid="{00000000-0005-0000-0000-0000F0040000}"/>
    <cellStyle name="_CTG All Fac Weekly Status (21st Nov to 27th Nov) ' 09_27- JULY- 01 AUG" xfId="1266" xr:uid="{00000000-0005-0000-0000-0000F1040000}"/>
    <cellStyle name="_CTG All Fac Weekly Status (21st Nov to 27th Nov) ' 09_April'01-04-2013" xfId="1267" xr:uid="{00000000-0005-0000-0000-0000F2040000}"/>
    <cellStyle name="_CTG All Fac Weekly Status (21st Nov to 27th Nov) ' 09_aPRIL-29-02 mAY" xfId="1268" xr:uid="{00000000-0005-0000-0000-0000F3040000}"/>
    <cellStyle name="_CTG All Fac Weekly Status (21st Nov to 27th Nov) ' 09_August '01-08-2013" xfId="1269" xr:uid="{00000000-0005-0000-0000-0000F4040000}"/>
    <cellStyle name="_CTG All Fac Weekly Status (21st Nov to 27th Nov) ' 09_BD All Fac Weekly Eff% Status (11th Aug to 17th Aug) ' 12" xfId="1270" xr:uid="{00000000-0005-0000-0000-0000F5040000}"/>
    <cellStyle name="_CTG All Fac Weekly Status (21st Nov to 27th Nov) ' 09_BD All Fac Weekly Eff% Status (14th July to 20th July) ' 12" xfId="1271" xr:uid="{00000000-0005-0000-0000-0000F6040000}"/>
    <cellStyle name="_CTG All Fac Weekly Status (21st Nov to 27th Nov) ' 09_BD All Fac Weekly Eff% Status (22nd Sep to 28th Sep) ' 12" xfId="1272" xr:uid="{00000000-0005-0000-0000-0000F7040000}"/>
    <cellStyle name="_CTG All Fac Weekly Status (21st Nov to 27th Nov) ' 09_BD All Fac Weekly Eff% Status (2nd June to 8th June) ' 12" xfId="1273" xr:uid="{00000000-0005-0000-0000-0000F8040000}"/>
    <cellStyle name="_CTG All Fac Weekly Status (21st Nov to 27th Nov) ' 09_BD All Fac Weekly Eff% Status (30th Mar -5th Apr) ' 13" xfId="1274" xr:uid="{00000000-0005-0000-0000-0000F9040000}"/>
    <cellStyle name="_CTG All Fac Weekly Status (21st Nov to 27th Nov) ' 09_BD All Fac Weekly Eff% Status (3rd Nov to 9th Nov) ' 12" xfId="1275" xr:uid="{00000000-0005-0000-0000-0000FA040000}"/>
    <cellStyle name="_CTG All Fac Weekly Status (21st Nov to 27th Nov) ' 09_BD All Fac Weekly Eff% Status (6th Oct to 12th Oct) ' 12" xfId="1276" xr:uid="{00000000-0005-0000-0000-0000FB040000}"/>
    <cellStyle name="_CTG All Fac Weekly Status (21st Nov to 27th Nov) ' 09_December'01-12-201213 Anima" xfId="1277" xr:uid="{00000000-0005-0000-0000-0000FC040000}"/>
    <cellStyle name="_CTG All Fac Weekly Status (21st Nov to 27th Nov) ' 09_February'01-02-2013" xfId="1278" xr:uid="{00000000-0005-0000-0000-0000FD040000}"/>
    <cellStyle name="_CTG All Fac Weekly Status (21st Nov to 27th Nov) ' 09_January'01-01-2013" xfId="1279" xr:uid="{00000000-0005-0000-0000-0000FE040000}"/>
    <cellStyle name="_CTG All Fac Weekly Status (21st Nov to 27th Nov) ' 09_JULY '01-07-2013" xfId="1280" xr:uid="{00000000-0005-0000-0000-0000FF040000}"/>
    <cellStyle name="_CTG All Fac Weekly Status (21st Nov to 27th Nov) ' 09_JUNE '01-06-2013" xfId="1281" xr:uid="{00000000-0005-0000-0000-000000050000}"/>
    <cellStyle name="_CTG All Fac Weekly Status (21st Nov to 27th Nov) ' 09_JUNE '29-04 JULY" xfId="1282" xr:uid="{00000000-0005-0000-0000-000001050000}"/>
    <cellStyle name="_CTG All Fac Weekly Status (21st Nov to 27th Nov) ' 09_March'" xfId="1283" xr:uid="{00000000-0005-0000-0000-000002050000}"/>
    <cellStyle name="_CTG All Fac Weekly Status (21st Nov to 27th Nov) ' 09_March'01-02-2013" xfId="1284" xr:uid="{00000000-0005-0000-0000-000003050000}"/>
    <cellStyle name="_CTG All Fac Weekly Status (21st Nov to 27th Nov) ' 09_May '01-05-2013" xfId="1285" xr:uid="{00000000-0005-0000-0000-000004050000}"/>
    <cellStyle name="_CTG All Fac Weekly Status (21st Nov to 27th Nov) ' 09_New Format December-2012" xfId="1286" xr:uid="{00000000-0005-0000-0000-000005050000}"/>
    <cellStyle name="_CTG All Fac Weekly Status (21st Nov to 27th Nov) ' 09_New Format Feb-2013" xfId="1287" xr:uid="{00000000-0005-0000-0000-000006050000}"/>
    <cellStyle name="_CTG All Fac Weekly Status (21st Nov to 27th Nov) ' 09_New Format February-2013" xfId="1288" xr:uid="{00000000-0005-0000-0000-000007050000}"/>
    <cellStyle name="_CTG All Fac Weekly Status (21st Nov to 27th Nov) ' 09_New Format November-2012" xfId="1289" xr:uid="{00000000-0005-0000-0000-000008050000}"/>
    <cellStyle name="_CTG All Fac Weekly Status (21st Nov to 27th Nov) ' 09_October '01-10-2013" xfId="1290" xr:uid="{00000000-0005-0000-0000-000009050000}"/>
    <cellStyle name="_CTG All Fac Weekly Status (21st Nov to 27th Nov) ' 09_Sep-oct" xfId="1291" xr:uid="{00000000-0005-0000-0000-00000A050000}"/>
    <cellStyle name="_CTG All Fac Weekly Status (21st Nov to 27th Nov) ' 09_September '01-09-2013" xfId="1292" xr:uid="{00000000-0005-0000-0000-00000B050000}"/>
    <cellStyle name="_CTG All Fac Weekly Status (21st Nov to 27th Nov) ' 09_Weekly prdn" xfId="1293" xr:uid="{00000000-0005-0000-0000-00000C050000}"/>
    <cellStyle name="_CTG All Fac Weekly Status (21st Nov to 27th Nov) ' 09_Weekly Status" xfId="1294" xr:uid="{00000000-0005-0000-0000-00000D050000}"/>
    <cellStyle name="_CTG All Fac Weekly Status (21st Nov to 27th Nov) ' 09_Ysl Weekly Status-201228" xfId="1295" xr:uid="{00000000-0005-0000-0000-00000E050000}"/>
    <cellStyle name="_CTG All Fac Weekly Status (21st Nov to 27th Nov) ' 09_Ysl Weekly Status-201229" xfId="1296" xr:uid="{00000000-0005-0000-0000-00000F050000}"/>
    <cellStyle name="_CTG All Fac Weekly Status (21st Nov to 27th Nov) ' 09_Ysl Weekly Status-201230" xfId="1297" xr:uid="{00000000-0005-0000-0000-000010050000}"/>
    <cellStyle name="_CTG All Fac Weekly Status (21st Nov to 27th Nov) ' 09_Ysl Weekly Status-201231" xfId="1298" xr:uid="{00000000-0005-0000-0000-000011050000}"/>
    <cellStyle name="_CTG All Fac Weekly Status (21st Nov to 27th Nov) ' 09_Ysl Weekly Status-201233" xfId="1299" xr:uid="{00000000-0005-0000-0000-000012050000}"/>
    <cellStyle name="_CTG All Fac Weekly Status (21st Nov to 27th Nov) ' 09_Ysl Weekly Status-201234" xfId="1300" xr:uid="{00000000-0005-0000-0000-000013050000}"/>
    <cellStyle name="_CTG All Fac Weekly Status (21st Nov to 27th Nov) ' 09_Ysl Weekly Status-201235" xfId="1301" xr:uid="{00000000-0005-0000-0000-000014050000}"/>
    <cellStyle name="_CTG All Fac Weekly Status (21st Nov to 27th Nov) ' 09_Ysl Weekly Status-201236" xfId="1302" xr:uid="{00000000-0005-0000-0000-000015050000}"/>
    <cellStyle name="_CTG All Fac Weekly Status (21st Nov to 27th Nov) ' 09_Ysl Weekly Status-201237" xfId="1303" xr:uid="{00000000-0005-0000-0000-000016050000}"/>
    <cellStyle name="_CTG All Fac Weekly Status (21st Nov to 27th Nov) ' 09_Ysl Weekly Status-201238" xfId="1304" xr:uid="{00000000-0005-0000-0000-000017050000}"/>
    <cellStyle name="_CTG All Fac Weekly Status (21st Nov to 27th Nov) ' 09_Ysl Weekly Status-201239" xfId="1305" xr:uid="{00000000-0005-0000-0000-000018050000}"/>
    <cellStyle name="_CTG All Fac Weekly Status (21st Nov to 27th Nov) ' 09_Ysl Weekly Status-201240" xfId="1306" xr:uid="{00000000-0005-0000-0000-000019050000}"/>
    <cellStyle name="_CTG All Fac Weekly Status (21st Nov to 27th Nov) ' 09_Ysl Weekly Status-201241" xfId="1307" xr:uid="{00000000-0005-0000-0000-00001A050000}"/>
    <cellStyle name="_CTG All Fac Weekly Status (21st Nov to 27th Nov) ' 09_Ysl Weekly Status-2013" xfId="1308" xr:uid="{00000000-0005-0000-0000-00001B050000}"/>
    <cellStyle name="_CTG All Fac Weekly Status (21st Nov to 27th Nov) ' 09_Ysl Weekly Status-20131" xfId="1309" xr:uid="{00000000-0005-0000-0000-00001C050000}"/>
    <cellStyle name="_CTG All Fac Weekly Status (21st Nov to 27th Nov) ' 09_Ysl Weekly Status-20132" xfId="1310" xr:uid="{00000000-0005-0000-0000-00001D050000}"/>
    <cellStyle name="_CTG All Fac Weekly Status (21st Nov to 27th Nov) ' 09_Ysl Weekly Status-20133" xfId="1311" xr:uid="{00000000-0005-0000-0000-00001E050000}"/>
    <cellStyle name="_CTG All Fac Weekly Status (21st Nov to 27th Nov) ' 09_Ysl Weekly Status-20134" xfId="1312" xr:uid="{00000000-0005-0000-0000-00001F050000}"/>
    <cellStyle name="_Daily New Formet(April-2010)." xfId="1313" xr:uid="{00000000-0005-0000-0000-000020050000}"/>
    <cellStyle name="_Daily New Formet(April-2010). 2" xfId="1314" xr:uid="{00000000-0005-0000-0000-000021050000}"/>
    <cellStyle name="_Daily New Formet(April-2010)._Daily Production ReportApril.2" xfId="1315" xr:uid="{00000000-0005-0000-0000-000022050000}"/>
    <cellStyle name="_Daily New Formet(April-2010)._Tsl Daily Production Report Nov '127." xfId="1316" xr:uid="{00000000-0005-0000-0000-000023050000}"/>
    <cellStyle name="_Daily New Formet(August-2010)." xfId="1317" xr:uid="{00000000-0005-0000-0000-000024050000}"/>
    <cellStyle name="_Daily New Formet(August-2010). 2" xfId="1318" xr:uid="{00000000-0005-0000-0000-000025050000}"/>
    <cellStyle name="_Daily New Formet(August-2010)._Daily Production ReportApril.2" xfId="1319" xr:uid="{00000000-0005-0000-0000-000026050000}"/>
    <cellStyle name="_Daily New Formet(August-2010)._Tsl Daily Production Report Nov '127." xfId="1320" xr:uid="{00000000-0005-0000-0000-000027050000}"/>
    <cellStyle name="_Daily New Formet(Dec-2010).1" xfId="1321" xr:uid="{00000000-0005-0000-0000-000028050000}"/>
    <cellStyle name="_Daily New Formet(Dec-2010).1 2" xfId="1322" xr:uid="{00000000-0005-0000-0000-000029050000}"/>
    <cellStyle name="_Daily New Formet(Dec-2010).1_Daily Production ReportApril.2" xfId="1323" xr:uid="{00000000-0005-0000-0000-00002A050000}"/>
    <cellStyle name="_Daily New Formet(Dec-2010).1_Tsl Daily Production Report Nov '127." xfId="1324" xr:uid="{00000000-0005-0000-0000-00002B050000}"/>
    <cellStyle name="_Daily New Formet(July-2010)." xfId="1325" xr:uid="{00000000-0005-0000-0000-00002C050000}"/>
    <cellStyle name="_Daily New Formet(July-2010). 2" xfId="1326" xr:uid="{00000000-0005-0000-0000-00002D050000}"/>
    <cellStyle name="_Daily New Formet(July-2010)._Daily Production ReportApril.2" xfId="1327" xr:uid="{00000000-0005-0000-0000-00002E050000}"/>
    <cellStyle name="_Daily New Formet(July-2010)._Tsl Daily Production Report Nov '127." xfId="1328" xr:uid="{00000000-0005-0000-0000-00002F050000}"/>
    <cellStyle name="_Daily New Formet(June-2010)." xfId="1329" xr:uid="{00000000-0005-0000-0000-000030050000}"/>
    <cellStyle name="_Daily New Formet(June-2010). 2" xfId="1330" xr:uid="{00000000-0005-0000-0000-000031050000}"/>
    <cellStyle name="_Daily New Formet(June-2010)._Daily Production ReportApril.2" xfId="1331" xr:uid="{00000000-0005-0000-0000-000032050000}"/>
    <cellStyle name="_Daily New Formet(June-2010)._Tsl Daily Production Report Nov '127." xfId="1332" xr:uid="{00000000-0005-0000-0000-000033050000}"/>
    <cellStyle name="_Daily New Formet(June-2010).2" xfId="1333" xr:uid="{00000000-0005-0000-0000-000034050000}"/>
    <cellStyle name="_Daily New Formet(June-2010).2 2" xfId="1334" xr:uid="{00000000-0005-0000-0000-000035050000}"/>
    <cellStyle name="_Daily New Formet(June-2010).2_Daily Production ReportApril.2" xfId="1335" xr:uid="{00000000-0005-0000-0000-000036050000}"/>
    <cellStyle name="_Daily New Formet(June-2010).2_Tsl Daily Production Report Nov '127." xfId="1336" xr:uid="{00000000-0005-0000-0000-000037050000}"/>
    <cellStyle name="_Daily New Formet(May-2010)." xfId="1337" xr:uid="{00000000-0005-0000-0000-000038050000}"/>
    <cellStyle name="_Daily New Formet(May-2010). 2" xfId="1338" xr:uid="{00000000-0005-0000-0000-000039050000}"/>
    <cellStyle name="_Daily New Formet(May-2010)._Daily Production ReportApril.2" xfId="1339" xr:uid="{00000000-0005-0000-0000-00003A050000}"/>
    <cellStyle name="_Daily New Formet(May-2010)._Tsl Daily Production Report Nov '127." xfId="1340" xr:uid="{00000000-0005-0000-0000-00003B050000}"/>
    <cellStyle name="_Daily New Formet(Nov-2010).1" xfId="1341" xr:uid="{00000000-0005-0000-0000-00003C050000}"/>
    <cellStyle name="_Daily New Formet(Nov-2010).1 2" xfId="1342" xr:uid="{00000000-0005-0000-0000-00003D050000}"/>
    <cellStyle name="_Daily New Formet(Nov-2010).1_Daily Production ReportApril.2" xfId="1343" xr:uid="{00000000-0005-0000-0000-00003E050000}"/>
    <cellStyle name="_Daily New Formet(Nov-2010).1_Tsl Daily Production Report Nov '127." xfId="1344" xr:uid="{00000000-0005-0000-0000-00003F050000}"/>
    <cellStyle name="_Daily New Formet(Oct-2010)." xfId="1345" xr:uid="{00000000-0005-0000-0000-000040050000}"/>
    <cellStyle name="_Daily New Formet(Oct-2010). 2" xfId="1346" xr:uid="{00000000-0005-0000-0000-000041050000}"/>
    <cellStyle name="_Daily New Formet(Oct-2010)._Daily Production ReportApril.2" xfId="1347" xr:uid="{00000000-0005-0000-0000-000042050000}"/>
    <cellStyle name="_Daily New Formet(Oct-2010)._Tsl Daily Production Report Nov '127." xfId="1348" xr:uid="{00000000-0005-0000-0000-000043050000}"/>
    <cellStyle name="_Daily New Formet(Oct-2010).1" xfId="1349" xr:uid="{00000000-0005-0000-0000-000044050000}"/>
    <cellStyle name="_Daily New Formet(Oct-2010).1 2" xfId="1350" xr:uid="{00000000-0005-0000-0000-000045050000}"/>
    <cellStyle name="_Daily New Formet(Oct-2010).1_Daily Production ReportApril.2" xfId="1351" xr:uid="{00000000-0005-0000-0000-000046050000}"/>
    <cellStyle name="_Daily New Formet(Oct-2010).1_Tsl Daily Production Report Nov '127." xfId="1352" xr:uid="{00000000-0005-0000-0000-000047050000}"/>
    <cellStyle name="_Daily New Formet(Sep-2010)." xfId="1353" xr:uid="{00000000-0005-0000-0000-000048050000}"/>
    <cellStyle name="_Daily New Formet(Sep-2010). 2" xfId="1354" xr:uid="{00000000-0005-0000-0000-000049050000}"/>
    <cellStyle name="_Daily New Formet(Sep-2010)._Daily Production ReportApril.2" xfId="1355" xr:uid="{00000000-0005-0000-0000-00004A050000}"/>
    <cellStyle name="_Daily New Formet(Sep-2010)._Tsl Daily Production Report Nov '127." xfId="1356" xr:uid="{00000000-0005-0000-0000-00004B050000}"/>
    <cellStyle name="_Daily Prdn Report August '10" xfId="1357" xr:uid="{00000000-0005-0000-0000-00004C050000}"/>
    <cellStyle name="_Daily Prdn Report August '10 2" xfId="1358" xr:uid="{00000000-0005-0000-0000-00004D050000}"/>
    <cellStyle name="_Daily Prdn Report May '10131" xfId="1359" xr:uid="{00000000-0005-0000-0000-00004E050000}"/>
    <cellStyle name="_Daily Prdn Report May '10131_27- JULY- 01 AUG" xfId="1360" xr:uid="{00000000-0005-0000-0000-00004F050000}"/>
    <cellStyle name="_Daily Prdn Report May '10131_April'01-04-2013" xfId="1361" xr:uid="{00000000-0005-0000-0000-000050050000}"/>
    <cellStyle name="_Daily Prdn Report May '10131_aPRIL-29-02 mAY" xfId="1362" xr:uid="{00000000-0005-0000-0000-000051050000}"/>
    <cellStyle name="_Daily Prdn Report May '10131_August '01-08-2013" xfId="1363" xr:uid="{00000000-0005-0000-0000-000052050000}"/>
    <cellStyle name="_Daily Prdn Report May '10131_BD All Fac Weekly Eff% Status (11th Aug to 17th Aug) ' 12" xfId="1364" xr:uid="{00000000-0005-0000-0000-000053050000}"/>
    <cellStyle name="_Daily Prdn Report May '10131_BD All Fac Weekly Eff% Status (14th July to 20th July) ' 12" xfId="1365" xr:uid="{00000000-0005-0000-0000-000054050000}"/>
    <cellStyle name="_Daily Prdn Report May '10131_BD All Fac Weekly Eff% Status (22nd Sep to 28th Sep) ' 12" xfId="1366" xr:uid="{00000000-0005-0000-0000-000055050000}"/>
    <cellStyle name="_Daily Prdn Report May '10131_BD All Fac Weekly Eff% Status (2nd June to 8th June) ' 12" xfId="1367" xr:uid="{00000000-0005-0000-0000-000056050000}"/>
    <cellStyle name="_Daily Prdn Report May '10131_BD All Fac Weekly Eff% Status (30th Mar -5th Apr) ' 13" xfId="1368" xr:uid="{00000000-0005-0000-0000-000057050000}"/>
    <cellStyle name="_Daily Prdn Report May '10131_BD All Fac Weekly Eff% Status (3rd Nov to 9th Nov) ' 12" xfId="1369" xr:uid="{00000000-0005-0000-0000-000058050000}"/>
    <cellStyle name="_Daily Prdn Report May '10131_BD All Fac Weekly Eff% Status (6th Oct to 12th Oct) ' 12" xfId="1370" xr:uid="{00000000-0005-0000-0000-000059050000}"/>
    <cellStyle name="_Daily Prdn Report May '10131_December'01-12-201213 Anima" xfId="1371" xr:uid="{00000000-0005-0000-0000-00005A050000}"/>
    <cellStyle name="_Daily Prdn Report May '10131_February'01-02-2013" xfId="1372" xr:uid="{00000000-0005-0000-0000-00005B050000}"/>
    <cellStyle name="_Daily Prdn Report May '10131_January'01-01-2013" xfId="1373" xr:uid="{00000000-0005-0000-0000-00005C050000}"/>
    <cellStyle name="_Daily Prdn Report May '10131_JULY '01-07-2013" xfId="1374" xr:uid="{00000000-0005-0000-0000-00005D050000}"/>
    <cellStyle name="_Daily Prdn Report May '10131_JUNE '01-06-2013" xfId="1375" xr:uid="{00000000-0005-0000-0000-00005E050000}"/>
    <cellStyle name="_Daily Prdn Report May '10131_JUNE '29-04 JULY" xfId="1376" xr:uid="{00000000-0005-0000-0000-00005F050000}"/>
    <cellStyle name="_Daily Prdn Report May '10131_March'" xfId="1377" xr:uid="{00000000-0005-0000-0000-000060050000}"/>
    <cellStyle name="_Daily Prdn Report May '10131_March'01-02-2013" xfId="1378" xr:uid="{00000000-0005-0000-0000-000061050000}"/>
    <cellStyle name="_Daily Prdn Report May '10131_May '01-05-2013" xfId="1379" xr:uid="{00000000-0005-0000-0000-000062050000}"/>
    <cellStyle name="_Daily Prdn Report May '10131_New Format December-2012" xfId="1380" xr:uid="{00000000-0005-0000-0000-000063050000}"/>
    <cellStyle name="_Daily Prdn Report May '10131_New Format Feb-2013" xfId="1381" xr:uid="{00000000-0005-0000-0000-000064050000}"/>
    <cellStyle name="_Daily Prdn Report May '10131_New Format February-2013" xfId="1382" xr:uid="{00000000-0005-0000-0000-000065050000}"/>
    <cellStyle name="_Daily Prdn Report May '10131_New Format November-2012" xfId="1383" xr:uid="{00000000-0005-0000-0000-000066050000}"/>
    <cellStyle name="_Daily Prdn Report May '10131_October '01-10-2013" xfId="1384" xr:uid="{00000000-0005-0000-0000-000067050000}"/>
    <cellStyle name="_Daily Prdn Report May '10131_Sep-oct" xfId="1385" xr:uid="{00000000-0005-0000-0000-000068050000}"/>
    <cellStyle name="_Daily Prdn Report May '10131_September '01-09-2013" xfId="1386" xr:uid="{00000000-0005-0000-0000-000069050000}"/>
    <cellStyle name="_Daily Prdn Report May '10131_Weekly prdn" xfId="1387" xr:uid="{00000000-0005-0000-0000-00006A050000}"/>
    <cellStyle name="_Daily Prdn Report May '10131_Weekly Status" xfId="1388" xr:uid="{00000000-0005-0000-0000-00006B050000}"/>
    <cellStyle name="_Daily Prdn Report May '10131_Ysl Weekly Status-201228" xfId="1389" xr:uid="{00000000-0005-0000-0000-00006C050000}"/>
    <cellStyle name="_Daily Prdn Report May '10131_Ysl Weekly Status-201229" xfId="1390" xr:uid="{00000000-0005-0000-0000-00006D050000}"/>
    <cellStyle name="_Daily Prdn Report May '10131_Ysl Weekly Status-201230" xfId="1391" xr:uid="{00000000-0005-0000-0000-00006E050000}"/>
    <cellStyle name="_Daily Prdn Report May '10131_Ysl Weekly Status-201231" xfId="1392" xr:uid="{00000000-0005-0000-0000-00006F050000}"/>
    <cellStyle name="_Daily Prdn Report May '10131_Ysl Weekly Status-201233" xfId="1393" xr:uid="{00000000-0005-0000-0000-000070050000}"/>
    <cellStyle name="_Daily Prdn Report May '10131_Ysl Weekly Status-201234" xfId="1394" xr:uid="{00000000-0005-0000-0000-000071050000}"/>
    <cellStyle name="_Daily Prdn Report May '10131_Ysl Weekly Status-201235" xfId="1395" xr:uid="{00000000-0005-0000-0000-000072050000}"/>
    <cellStyle name="_Daily Prdn Report May '10131_Ysl Weekly Status-201236" xfId="1396" xr:uid="{00000000-0005-0000-0000-000073050000}"/>
    <cellStyle name="_Daily Prdn Report May '10131_Ysl Weekly Status-201237" xfId="1397" xr:uid="{00000000-0005-0000-0000-000074050000}"/>
    <cellStyle name="_Daily Prdn Report May '10131_Ysl Weekly Status-201238" xfId="1398" xr:uid="{00000000-0005-0000-0000-000075050000}"/>
    <cellStyle name="_Daily Prdn Report May '10131_Ysl Weekly Status-201239" xfId="1399" xr:uid="{00000000-0005-0000-0000-000076050000}"/>
    <cellStyle name="_Daily Prdn Report May '10131_Ysl Weekly Status-201240" xfId="1400" xr:uid="{00000000-0005-0000-0000-000077050000}"/>
    <cellStyle name="_Daily Prdn Report May '10131_Ysl Weekly Status-201241" xfId="1401" xr:uid="{00000000-0005-0000-0000-000078050000}"/>
    <cellStyle name="_Daily Prdn Report May '10131_Ysl Weekly Status-2013" xfId="1402" xr:uid="{00000000-0005-0000-0000-000079050000}"/>
    <cellStyle name="_Daily Prdn Report May '10131_Ysl Weekly Status-20131" xfId="1403" xr:uid="{00000000-0005-0000-0000-00007A050000}"/>
    <cellStyle name="_Daily Prdn Report May '10131_Ysl Weekly Status-20132" xfId="1404" xr:uid="{00000000-0005-0000-0000-00007B050000}"/>
    <cellStyle name="_Daily Prdn Report May '10131_Ysl Weekly Status-20133" xfId="1405" xr:uid="{00000000-0005-0000-0000-00007C050000}"/>
    <cellStyle name="_Daily Prdn Report May '10131_Ysl Weekly Status-20134" xfId="1406" xr:uid="{00000000-0005-0000-0000-00007D050000}"/>
    <cellStyle name="_Daily Production Report March(12-17)- 2011" xfId="1407" xr:uid="{00000000-0005-0000-0000-00007E050000}"/>
    <cellStyle name="_Daily Production Report March(12-17)- 2011 2" xfId="1408" xr:uid="{00000000-0005-0000-0000-00007F050000}"/>
    <cellStyle name="_Daily Production Report March(12-17)- 2011_27- JULY- 01 AUG" xfId="1409" xr:uid="{00000000-0005-0000-0000-000080050000}"/>
    <cellStyle name="_Daily Production Report March(12-17)- 2011_27- JULY- 01 AUG_BD All Fac Weekly Eff% Status (20th Oct- 24th Oct ) ' 13" xfId="1410" xr:uid="{00000000-0005-0000-0000-000081050000}"/>
    <cellStyle name="_Daily Production Report March(12-17)- 2011_All  Raw (Jan to Apr) 2013 (1)........" xfId="1411" xr:uid="{00000000-0005-0000-0000-000082050000}"/>
    <cellStyle name="_Daily Production Report March(12-17)- 2011_All 2013 Up to 16 th May " xfId="1412" xr:uid="{00000000-0005-0000-0000-000083050000}"/>
    <cellStyle name="_Daily Production Report March(12-17)- 2011_All 2013 Up to 16 th May after revised top 70" xfId="1413" xr:uid="{00000000-0005-0000-0000-000084050000}"/>
    <cellStyle name="_Daily Production Report March(12-17)- 2011_All 2013 Up to 6th June" xfId="1414" xr:uid="{00000000-0005-0000-0000-000085050000}"/>
    <cellStyle name="_Daily Production Report March(12-17)- 2011_All 2013 Up to 9th May " xfId="1415" xr:uid="{00000000-0005-0000-0000-000086050000}"/>
    <cellStyle name="_Daily Production Report March(12-17)- 2011_All 2013 Update Virsion for Work update" xfId="1416" xr:uid="{00000000-0005-0000-0000-000087050000}"/>
    <cellStyle name="_Daily Production Report March(12-17)- 2011_All 2013 Update Virsion g" xfId="1417" xr:uid="{00000000-0005-0000-0000-000088050000}"/>
    <cellStyle name="_Daily Production Report March(12-17)- 2011_April'01-04-2013" xfId="1418" xr:uid="{00000000-0005-0000-0000-000089050000}"/>
    <cellStyle name="_Daily Production Report March(12-17)- 2011_April'01-04-2013_BD All Fac Weekly Eff% Status (20th Oct- 24th Oct ) ' 13" xfId="1419" xr:uid="{00000000-0005-0000-0000-00008A050000}"/>
    <cellStyle name="_Daily Production Report March(12-17)- 2011_aPRIL-29-02 mAY" xfId="1420" xr:uid="{00000000-0005-0000-0000-00008B050000}"/>
    <cellStyle name="_Daily Production Report March(12-17)- 2011_aPRIL-29-02 mAY_BD All Fac Weekly Eff% Status (20th Oct- 24th Oct ) ' 13" xfId="1421" xr:uid="{00000000-0005-0000-0000-00008C050000}"/>
    <cellStyle name="_Daily Production Report March(12-17)- 2011_August '01-08-2013" xfId="1422" xr:uid="{00000000-0005-0000-0000-00008D050000}"/>
    <cellStyle name="_Daily Production Report March(12-17)- 2011_August '01-08-2013_1" xfId="1423" xr:uid="{00000000-0005-0000-0000-00008E050000}"/>
    <cellStyle name="_Daily Production Report March(12-17)- 2011_August '01-08-2013_BD All Fac Weekly Eff% Status (20th Oct- 24th Oct ) ' 13" xfId="1424" xr:uid="{00000000-0005-0000-0000-00008F050000}"/>
    <cellStyle name="_Daily Production Report March(12-17)- 2011_BD All Fac Weekly Eff% Status (11th Aug to 17th Aug) ' 12" xfId="1425" xr:uid="{00000000-0005-0000-0000-000090050000}"/>
    <cellStyle name="_Daily Production Report March(12-17)- 2011_BD All Fac Weekly Eff% Status (14th July to 20th July) ' 12" xfId="1426" xr:uid="{00000000-0005-0000-0000-000091050000}"/>
    <cellStyle name="_Daily Production Report March(12-17)- 2011_BD All Fac Weekly Eff% Status (20th Oct- 24th Oct ) ' 13" xfId="1427" xr:uid="{00000000-0005-0000-0000-000092050000}"/>
    <cellStyle name="_Daily Production Report March(12-17)- 2011_BD All Fac Weekly Eff% Status (22nd Sep to 28th Sep) ' 12" xfId="1428" xr:uid="{00000000-0005-0000-0000-000093050000}"/>
    <cellStyle name="_Daily Production Report March(12-17)- 2011_BD All Fac Weekly Eff% Status (2nd June to 8th June) ' 12" xfId="1429" xr:uid="{00000000-0005-0000-0000-000094050000}"/>
    <cellStyle name="_Daily Production Report March(12-17)- 2011_BD All Fac Weekly Eff% Status (30th Mar -5th Apr) ' 13" xfId="1430" xr:uid="{00000000-0005-0000-0000-000095050000}"/>
    <cellStyle name="_Daily Production Report March(12-17)- 2011_BD All Fac Weekly Eff% Status (3rd Nov to 9th Nov) ' 12" xfId="1431" xr:uid="{00000000-0005-0000-0000-000096050000}"/>
    <cellStyle name="_Daily Production Report March(12-17)- 2011_BD All Fac Weekly Eff% Status (6th Oct to 12th Oct) ' 12" xfId="1432" xr:uid="{00000000-0005-0000-0000-000097050000}"/>
    <cellStyle name="_Daily Production Report March(12-17)- 2011_Daily Production Report Feb''12" xfId="1433" xr:uid="{00000000-0005-0000-0000-000098050000}"/>
    <cellStyle name="_Daily Production Report March(12-17)- 2011_Daily Production ReportApril.2" xfId="1434" xr:uid="{00000000-0005-0000-0000-000099050000}"/>
    <cellStyle name="_Daily Production Report March(12-17)- 2011_December'01-12-201213 Anima" xfId="1435" xr:uid="{00000000-0005-0000-0000-00009A050000}"/>
    <cellStyle name="_Daily Production Report March(12-17)- 2011_December'01-12-201213 Anima_BD All Fac Weekly Eff% Status (20th Oct- 24th Oct ) ' 13" xfId="1436" xr:uid="{00000000-0005-0000-0000-00009B050000}"/>
    <cellStyle name="_Daily Production Report March(12-17)- 2011_December'01-12-201213 Anima_BD All Fac Weekly Eff% Status (30th Mar -5th Apr) ' 13" xfId="1437" xr:uid="{00000000-0005-0000-0000-00009C050000}"/>
    <cellStyle name="_Daily Production Report March(12-17)- 2011_February '01-02-2014" xfId="1438" xr:uid="{00000000-0005-0000-0000-00009D050000}"/>
    <cellStyle name="_Daily Production Report March(12-17)- 2011_February'01-02-2013" xfId="1439" xr:uid="{00000000-0005-0000-0000-00009E050000}"/>
    <cellStyle name="_Daily Production Report March(12-17)- 2011_February'01-02-2013_BD All Fac Weekly Eff% Status (20th Oct- 24th Oct ) ' 13" xfId="1440" xr:uid="{00000000-0005-0000-0000-00009F050000}"/>
    <cellStyle name="_Daily Production Report March(12-17)- 2011_February'01-02-2013_BD All Fac Weekly Eff% Status (30th Mar -5th Apr) ' 13" xfId="1441" xr:uid="{00000000-0005-0000-0000-0000A0050000}"/>
    <cellStyle name="_Daily Production Report March(12-17)- 2011_January '01-01-2014" xfId="1442" xr:uid="{00000000-0005-0000-0000-0000A1050000}"/>
    <cellStyle name="_Daily Production Report March(12-17)- 2011_January'01-01-2013" xfId="1443" xr:uid="{00000000-0005-0000-0000-0000A2050000}"/>
    <cellStyle name="_Daily Production Report March(12-17)- 2011_January'01-01-2013_BD All Fac Weekly Eff% Status (20th Oct- 24th Oct ) ' 13" xfId="1444" xr:uid="{00000000-0005-0000-0000-0000A3050000}"/>
    <cellStyle name="_Daily Production Report March(12-17)- 2011_January'01-01-2013_BD All Fac Weekly Eff% Status (30th Mar -5th Apr) ' 13" xfId="1445" xr:uid="{00000000-0005-0000-0000-0000A4050000}"/>
    <cellStyle name="_Daily Production Report March(12-17)- 2011_JULY '01-07-2013" xfId="1446" xr:uid="{00000000-0005-0000-0000-0000A5050000}"/>
    <cellStyle name="_Daily Production Report March(12-17)- 2011_JULY '01-07-2013_BD All Fac Weekly Eff% Status (20th Oct- 24th Oct ) ' 13" xfId="1447" xr:uid="{00000000-0005-0000-0000-0000A6050000}"/>
    <cellStyle name="_Daily Production Report March(12-17)- 2011_JUNE '01-06-2013" xfId="1448" xr:uid="{00000000-0005-0000-0000-0000A7050000}"/>
    <cellStyle name="_Daily Production Report March(12-17)- 2011_JUNE '01-06-2013_BD All Fac Weekly Eff% Status (20th Oct- 24th Oct ) ' 13" xfId="1449" xr:uid="{00000000-0005-0000-0000-0000A8050000}"/>
    <cellStyle name="_Daily Production Report March(12-17)- 2011_JUNE '29-04 JULY" xfId="1450" xr:uid="{00000000-0005-0000-0000-0000A9050000}"/>
    <cellStyle name="_Daily Production Report March(12-17)- 2011_Lsl Daily Prdn Report Mar'121" xfId="1451" xr:uid="{00000000-0005-0000-0000-0000AA050000}"/>
    <cellStyle name="_Daily Production Report March(12-17)- 2011_March'" xfId="1452" xr:uid="{00000000-0005-0000-0000-0000AB050000}"/>
    <cellStyle name="_Daily Production Report March(12-17)- 2011_March '01-03-20146" xfId="1453" xr:uid="{00000000-0005-0000-0000-0000AC050000}"/>
    <cellStyle name="_Daily Production Report March(12-17)- 2011_March'_BD All Fac Weekly Eff% Status (20th Oct- 24th Oct ) ' 13" xfId="1454" xr:uid="{00000000-0005-0000-0000-0000AD050000}"/>
    <cellStyle name="_Daily Production Report March(12-17)- 2011_March'01-02-2013" xfId="1455" xr:uid="{00000000-0005-0000-0000-0000AE050000}"/>
    <cellStyle name="_Daily Production Report March(12-17)- 2011_March'01-02-2013_BD All Fac Weekly Eff% Status (20th Oct- 24th Oct ) ' 13" xfId="1456" xr:uid="{00000000-0005-0000-0000-0000AF050000}"/>
    <cellStyle name="_Daily Production Report March(12-17)- 2011_March'01-02-2013_BD All Fac Weekly Eff% Status (30th Mar -5th Apr) ' 13" xfId="1457" xr:uid="{00000000-0005-0000-0000-0000B0050000}"/>
    <cellStyle name="_Daily Production Report March(12-17)- 2011_May '01-05-2013" xfId="1458" xr:uid="{00000000-0005-0000-0000-0000B1050000}"/>
    <cellStyle name="_Daily Production Report March(12-17)- 2011_May '01-05-2013_BD All Fac Weekly Eff% Status (20th Oct- 24th Oct ) ' 13" xfId="1459" xr:uid="{00000000-0005-0000-0000-0000B2050000}"/>
    <cellStyle name="_Daily Production Report March(12-17)- 2011_November '01-10-2013" xfId="1460" xr:uid="{00000000-0005-0000-0000-0000B3050000}"/>
    <cellStyle name="_Daily Production Report March(12-17)- 2011_October '01-10-2013" xfId="1461" xr:uid="{00000000-0005-0000-0000-0000B4050000}"/>
    <cellStyle name="_Daily Production Report March(12-17)- 2011_Sep-oct" xfId="1462" xr:uid="{00000000-0005-0000-0000-0000B5050000}"/>
    <cellStyle name="_Daily Production Report March(12-17)- 2011_September '01-09-2013" xfId="1463" xr:uid="{00000000-0005-0000-0000-0000B6050000}"/>
    <cellStyle name="_Daily Production Report March(12-17)- 2011_Tsl Daily Production Report Nov '127." xfId="1464" xr:uid="{00000000-0005-0000-0000-0000B7050000}"/>
    <cellStyle name="_Daily Production Report March(12-17)- 2011_Weekly prdn" xfId="1465" xr:uid="{00000000-0005-0000-0000-0000B8050000}"/>
    <cellStyle name="_Daily Production Report March(12-17)- 2011_Ycl Weekly Status (24th Nov 29th Nov)'12" xfId="1466" xr:uid="{00000000-0005-0000-0000-0000B9050000}"/>
    <cellStyle name="_Daily Production Report March-19-24" xfId="1467" xr:uid="{00000000-0005-0000-0000-0000BA050000}"/>
    <cellStyle name="_Daily Production Report March-19-24 2" xfId="1468" xr:uid="{00000000-0005-0000-0000-0000BB050000}"/>
    <cellStyle name="_Daily Production Report March-19-24_27- JULY- 01 AUG" xfId="1469" xr:uid="{00000000-0005-0000-0000-0000BC050000}"/>
    <cellStyle name="_Daily Production Report March-19-24_27- JULY- 01 AUG_BD All Fac Weekly Eff% Status (20th Oct- 24th Oct ) ' 13" xfId="1470" xr:uid="{00000000-0005-0000-0000-0000BD050000}"/>
    <cellStyle name="_Daily Production Report March-19-24_All  Raw (Jan to Apr) 2013 (1)........" xfId="1471" xr:uid="{00000000-0005-0000-0000-0000BE050000}"/>
    <cellStyle name="_Daily Production Report March-19-24_All 2013 Up to 16 th May " xfId="1472" xr:uid="{00000000-0005-0000-0000-0000BF050000}"/>
    <cellStyle name="_Daily Production Report March-19-24_All 2013 Up to 16 th May after revised top 70" xfId="1473" xr:uid="{00000000-0005-0000-0000-0000C0050000}"/>
    <cellStyle name="_Daily Production Report March-19-24_All 2013 Up to 6th June" xfId="1474" xr:uid="{00000000-0005-0000-0000-0000C1050000}"/>
    <cellStyle name="_Daily Production Report March-19-24_All 2013 Up to 9th May " xfId="1475" xr:uid="{00000000-0005-0000-0000-0000C2050000}"/>
    <cellStyle name="_Daily Production Report March-19-24_All 2013 Update Virsion for Work update" xfId="1476" xr:uid="{00000000-0005-0000-0000-0000C3050000}"/>
    <cellStyle name="_Daily Production Report March-19-24_All 2013 Update Virsion g" xfId="1477" xr:uid="{00000000-0005-0000-0000-0000C4050000}"/>
    <cellStyle name="_Daily Production Report March-19-24_April'01-04-2013" xfId="1478" xr:uid="{00000000-0005-0000-0000-0000C5050000}"/>
    <cellStyle name="_Daily Production Report March-19-24_April'01-04-2013_BD All Fac Weekly Eff% Status (20th Oct- 24th Oct ) ' 13" xfId="1479" xr:uid="{00000000-0005-0000-0000-0000C6050000}"/>
    <cellStyle name="_Daily Production Report March-19-24_aPRIL-29-02 mAY" xfId="1480" xr:uid="{00000000-0005-0000-0000-0000C7050000}"/>
    <cellStyle name="_Daily Production Report March-19-24_aPRIL-29-02 mAY_BD All Fac Weekly Eff% Status (20th Oct- 24th Oct ) ' 13" xfId="1481" xr:uid="{00000000-0005-0000-0000-0000C8050000}"/>
    <cellStyle name="_Daily Production Report March-19-24_August '01-08-2013" xfId="1482" xr:uid="{00000000-0005-0000-0000-0000C9050000}"/>
    <cellStyle name="_Daily Production Report March-19-24_August '01-08-2013_1" xfId="1483" xr:uid="{00000000-0005-0000-0000-0000CA050000}"/>
    <cellStyle name="_Daily Production Report March-19-24_August '01-08-2013_BD All Fac Weekly Eff% Status (20th Oct- 24th Oct ) ' 13" xfId="1484" xr:uid="{00000000-0005-0000-0000-0000CB050000}"/>
    <cellStyle name="_Daily Production Report March-19-24_BD All Fac Weekly Eff% Status (11th Aug to 17th Aug) ' 12" xfId="1485" xr:uid="{00000000-0005-0000-0000-0000CC050000}"/>
    <cellStyle name="_Daily Production Report March-19-24_BD All Fac Weekly Eff% Status (14th July to 20th July) ' 12" xfId="1486" xr:uid="{00000000-0005-0000-0000-0000CD050000}"/>
    <cellStyle name="_Daily Production Report March-19-24_BD All Fac Weekly Eff% Status (20th Oct- 24th Oct ) ' 13" xfId="1487" xr:uid="{00000000-0005-0000-0000-0000CE050000}"/>
    <cellStyle name="_Daily Production Report March-19-24_BD All Fac Weekly Eff% Status (22nd Sep to 28th Sep) ' 12" xfId="1488" xr:uid="{00000000-0005-0000-0000-0000CF050000}"/>
    <cellStyle name="_Daily Production Report March-19-24_BD All Fac Weekly Eff% Status (2nd June to 8th June) ' 12" xfId="1489" xr:uid="{00000000-0005-0000-0000-0000D0050000}"/>
    <cellStyle name="_Daily Production Report March-19-24_BD All Fac Weekly Eff% Status (30th Mar -5th Apr) ' 13" xfId="1490" xr:uid="{00000000-0005-0000-0000-0000D1050000}"/>
    <cellStyle name="_Daily Production Report March-19-24_BD All Fac Weekly Eff% Status (3rd Nov to 9th Nov) ' 12" xfId="1491" xr:uid="{00000000-0005-0000-0000-0000D2050000}"/>
    <cellStyle name="_Daily Production Report March-19-24_BD All Fac Weekly Eff% Status (6th Oct to 12th Oct) ' 12" xfId="1492" xr:uid="{00000000-0005-0000-0000-0000D3050000}"/>
    <cellStyle name="_Daily Production Report March-19-24_Daily Production Report Feb''12" xfId="1493" xr:uid="{00000000-0005-0000-0000-0000D4050000}"/>
    <cellStyle name="_Daily Production Report March-19-24_Daily Production ReportApril.2" xfId="1494" xr:uid="{00000000-0005-0000-0000-0000D5050000}"/>
    <cellStyle name="_Daily Production Report March-19-24_December'01-12-201213 Anima" xfId="1495" xr:uid="{00000000-0005-0000-0000-0000D6050000}"/>
    <cellStyle name="_Daily Production Report March-19-24_December'01-12-201213 Anima_BD All Fac Weekly Eff% Status (20th Oct- 24th Oct ) ' 13" xfId="1496" xr:uid="{00000000-0005-0000-0000-0000D7050000}"/>
    <cellStyle name="_Daily Production Report March-19-24_December'01-12-201213 Anima_BD All Fac Weekly Eff% Status (30th Mar -5th Apr) ' 13" xfId="1497" xr:uid="{00000000-0005-0000-0000-0000D8050000}"/>
    <cellStyle name="_Daily Production Report March-19-24_February '01-02-2014" xfId="1498" xr:uid="{00000000-0005-0000-0000-0000D9050000}"/>
    <cellStyle name="_Daily Production Report March-19-24_February'01-02-2013" xfId="1499" xr:uid="{00000000-0005-0000-0000-0000DA050000}"/>
    <cellStyle name="_Daily Production Report March-19-24_February'01-02-2013_BD All Fac Weekly Eff% Status (20th Oct- 24th Oct ) ' 13" xfId="1500" xr:uid="{00000000-0005-0000-0000-0000DB050000}"/>
    <cellStyle name="_Daily Production Report March-19-24_February'01-02-2013_BD All Fac Weekly Eff% Status (30th Mar -5th Apr) ' 13" xfId="1501" xr:uid="{00000000-0005-0000-0000-0000DC050000}"/>
    <cellStyle name="_Daily Production Report March-19-24_January '01-01-2014" xfId="1502" xr:uid="{00000000-0005-0000-0000-0000DD050000}"/>
    <cellStyle name="_Daily Production Report March-19-24_January'01-01-2013" xfId="1503" xr:uid="{00000000-0005-0000-0000-0000DE050000}"/>
    <cellStyle name="_Daily Production Report March-19-24_January'01-01-2013_BD All Fac Weekly Eff% Status (20th Oct- 24th Oct ) ' 13" xfId="1504" xr:uid="{00000000-0005-0000-0000-0000DF050000}"/>
    <cellStyle name="_Daily Production Report March-19-24_January'01-01-2013_BD All Fac Weekly Eff% Status (30th Mar -5th Apr) ' 13" xfId="1505" xr:uid="{00000000-0005-0000-0000-0000E0050000}"/>
    <cellStyle name="_Daily Production Report March-19-24_JULY '01-07-2013" xfId="1506" xr:uid="{00000000-0005-0000-0000-0000E1050000}"/>
    <cellStyle name="_Daily Production Report March-19-24_JULY '01-07-2013_BD All Fac Weekly Eff% Status (20th Oct- 24th Oct ) ' 13" xfId="1507" xr:uid="{00000000-0005-0000-0000-0000E2050000}"/>
    <cellStyle name="_Daily Production Report March-19-24_JUNE '01-06-2013" xfId="1508" xr:uid="{00000000-0005-0000-0000-0000E3050000}"/>
    <cellStyle name="_Daily Production Report March-19-24_JUNE '01-06-2013_BD All Fac Weekly Eff% Status (20th Oct- 24th Oct ) ' 13" xfId="1509" xr:uid="{00000000-0005-0000-0000-0000E4050000}"/>
    <cellStyle name="_Daily Production Report March-19-24_JUNE '29-04 JULY" xfId="1510" xr:uid="{00000000-0005-0000-0000-0000E5050000}"/>
    <cellStyle name="_Daily Production Report March-19-24_Lsl Daily Prdn Report Mar'121" xfId="1511" xr:uid="{00000000-0005-0000-0000-0000E6050000}"/>
    <cellStyle name="_Daily Production Report March-19-24_March'" xfId="1512" xr:uid="{00000000-0005-0000-0000-0000E7050000}"/>
    <cellStyle name="_Daily Production Report March-19-24_March '01-03-20146" xfId="1513" xr:uid="{00000000-0005-0000-0000-0000E8050000}"/>
    <cellStyle name="_Daily Production Report March-19-24_March'_BD All Fac Weekly Eff% Status (20th Oct- 24th Oct ) ' 13" xfId="1514" xr:uid="{00000000-0005-0000-0000-0000E9050000}"/>
    <cellStyle name="_Daily Production Report March-19-24_March'01-02-2013" xfId="1515" xr:uid="{00000000-0005-0000-0000-0000EA050000}"/>
    <cellStyle name="_Daily Production Report March-19-24_March'01-02-2013_BD All Fac Weekly Eff% Status (20th Oct- 24th Oct ) ' 13" xfId="1516" xr:uid="{00000000-0005-0000-0000-0000EB050000}"/>
    <cellStyle name="_Daily Production Report March-19-24_March'01-02-2013_BD All Fac Weekly Eff% Status (30th Mar -5th Apr) ' 13" xfId="1517" xr:uid="{00000000-0005-0000-0000-0000EC050000}"/>
    <cellStyle name="_Daily Production Report March-19-24_May '01-05-2013" xfId="1518" xr:uid="{00000000-0005-0000-0000-0000ED050000}"/>
    <cellStyle name="_Daily Production Report March-19-24_May '01-05-2013_BD All Fac Weekly Eff% Status (20th Oct- 24th Oct ) ' 13" xfId="1519" xr:uid="{00000000-0005-0000-0000-0000EE050000}"/>
    <cellStyle name="_Daily Production Report March-19-24_November '01-10-2013" xfId="1520" xr:uid="{00000000-0005-0000-0000-0000EF050000}"/>
    <cellStyle name="_Daily Production Report March-19-24_October '01-10-2013" xfId="1521" xr:uid="{00000000-0005-0000-0000-0000F0050000}"/>
    <cellStyle name="_Daily Production Report March-19-24_Sep-oct" xfId="1522" xr:uid="{00000000-0005-0000-0000-0000F1050000}"/>
    <cellStyle name="_Daily Production Report March-19-24_September '01-09-2013" xfId="1523" xr:uid="{00000000-0005-0000-0000-0000F2050000}"/>
    <cellStyle name="_Daily Production Report March-19-24_Tsl Daily Production Report Nov '127." xfId="1524" xr:uid="{00000000-0005-0000-0000-0000F3050000}"/>
    <cellStyle name="_Daily Production Report March-19-24_Weekly prdn" xfId="1525" xr:uid="{00000000-0005-0000-0000-0000F4050000}"/>
    <cellStyle name="_Daily Production Report March-19-24_Ycl Weekly Status (24th Nov 29th Nov)'12" xfId="1526" xr:uid="{00000000-0005-0000-0000-0000F5050000}"/>
    <cellStyle name="_Daily Production Report Master" xfId="1527" xr:uid="{00000000-0005-0000-0000-0000F6050000}"/>
    <cellStyle name="_Daily Production Report Master 2" xfId="1528" xr:uid="{00000000-0005-0000-0000-0000F7050000}"/>
    <cellStyle name="_Daily Production Report Master_27- JULY- 01 AUG" xfId="1529" xr:uid="{00000000-0005-0000-0000-0000F8050000}"/>
    <cellStyle name="_Daily Production Report Master_27- JULY- 01 AUG_BD All Fac Weekly Eff% Status (20th Oct- 24th Oct ) ' 13" xfId="1530" xr:uid="{00000000-0005-0000-0000-0000F9050000}"/>
    <cellStyle name="_Daily Production Report Master_All  Raw (Jan to Apr) 2013 (1)........" xfId="1531" xr:uid="{00000000-0005-0000-0000-0000FA050000}"/>
    <cellStyle name="_Daily Production Report Master_All 2013 Up to 16 th May " xfId="1532" xr:uid="{00000000-0005-0000-0000-0000FB050000}"/>
    <cellStyle name="_Daily Production Report Master_All 2013 Up to 16 th May after revised top 70" xfId="1533" xr:uid="{00000000-0005-0000-0000-0000FC050000}"/>
    <cellStyle name="_Daily Production Report Master_All 2013 Up to 6th June" xfId="1534" xr:uid="{00000000-0005-0000-0000-0000FD050000}"/>
    <cellStyle name="_Daily Production Report Master_All 2013 Up to 9th May " xfId="1535" xr:uid="{00000000-0005-0000-0000-0000FE050000}"/>
    <cellStyle name="_Daily Production Report Master_All 2013 Update Virsion for Work update" xfId="1536" xr:uid="{00000000-0005-0000-0000-0000FF050000}"/>
    <cellStyle name="_Daily Production Report Master_All 2013 Update Virsion g" xfId="1537" xr:uid="{00000000-0005-0000-0000-000000060000}"/>
    <cellStyle name="_Daily Production Report Master_April'01-04-2013" xfId="1538" xr:uid="{00000000-0005-0000-0000-000001060000}"/>
    <cellStyle name="_Daily Production Report Master_April'01-04-2013_BD All Fac Weekly Eff% Status (20th Oct- 24th Oct ) ' 13" xfId="1539" xr:uid="{00000000-0005-0000-0000-000002060000}"/>
    <cellStyle name="_Daily Production Report Master_aPRIL-29-02 mAY" xfId="1540" xr:uid="{00000000-0005-0000-0000-000003060000}"/>
    <cellStyle name="_Daily Production Report Master_aPRIL-29-02 mAY_BD All Fac Weekly Eff% Status (20th Oct- 24th Oct ) ' 13" xfId="1541" xr:uid="{00000000-0005-0000-0000-000004060000}"/>
    <cellStyle name="_Daily Production Report Master_August '01-08-2013" xfId="1542" xr:uid="{00000000-0005-0000-0000-000005060000}"/>
    <cellStyle name="_Daily Production Report Master_August '01-08-2013_1" xfId="1543" xr:uid="{00000000-0005-0000-0000-000006060000}"/>
    <cellStyle name="_Daily Production Report Master_August '01-08-2013_BD All Fac Weekly Eff% Status (20th Oct- 24th Oct ) ' 13" xfId="1544" xr:uid="{00000000-0005-0000-0000-000007060000}"/>
    <cellStyle name="_Daily Production Report Master_BD All Fac Weekly Eff% Status (11th Aug to 17th Aug) ' 12" xfId="1545" xr:uid="{00000000-0005-0000-0000-000008060000}"/>
    <cellStyle name="_Daily Production Report Master_BD All Fac Weekly Eff% Status (14th July to 20th July) ' 12" xfId="1546" xr:uid="{00000000-0005-0000-0000-000009060000}"/>
    <cellStyle name="_Daily Production Report Master_BD All Fac Weekly Eff% Status (20th Oct- 24th Oct ) ' 13" xfId="1547" xr:uid="{00000000-0005-0000-0000-00000A060000}"/>
    <cellStyle name="_Daily Production Report Master_BD All Fac Weekly Eff% Status (22nd Sep to 28th Sep) ' 12" xfId="1548" xr:uid="{00000000-0005-0000-0000-00000B060000}"/>
    <cellStyle name="_Daily Production Report Master_BD All Fac Weekly Eff% Status (2nd June to 8th June) ' 12" xfId="1549" xr:uid="{00000000-0005-0000-0000-00000C060000}"/>
    <cellStyle name="_Daily Production Report Master_BD All Fac Weekly Eff% Status (30th Mar -5th Apr) ' 13" xfId="1550" xr:uid="{00000000-0005-0000-0000-00000D060000}"/>
    <cellStyle name="_Daily Production Report Master_BD All Fac Weekly Eff% Status (3rd Nov to 9th Nov) ' 12" xfId="1551" xr:uid="{00000000-0005-0000-0000-00000E060000}"/>
    <cellStyle name="_Daily Production Report Master_BD All Fac Weekly Eff% Status (6th Oct to 12th Oct) ' 12" xfId="1552" xr:uid="{00000000-0005-0000-0000-00000F060000}"/>
    <cellStyle name="_Daily Production Report Master_Daily Production Report Feb''12" xfId="1553" xr:uid="{00000000-0005-0000-0000-000010060000}"/>
    <cellStyle name="_Daily Production Report Master_Daily Production ReportApril.2" xfId="1554" xr:uid="{00000000-0005-0000-0000-000011060000}"/>
    <cellStyle name="_Daily Production Report Master_December'01-12-201213 Anima" xfId="1555" xr:uid="{00000000-0005-0000-0000-000012060000}"/>
    <cellStyle name="_Daily Production Report Master_December'01-12-201213 Anima_BD All Fac Weekly Eff% Status (20th Oct- 24th Oct ) ' 13" xfId="1556" xr:uid="{00000000-0005-0000-0000-000013060000}"/>
    <cellStyle name="_Daily Production Report Master_December'01-12-201213 Anima_BD All Fac Weekly Eff% Status (30th Mar -5th Apr) ' 13" xfId="1557" xr:uid="{00000000-0005-0000-0000-000014060000}"/>
    <cellStyle name="_Daily Production Report Master_February '01-02-2014" xfId="1558" xr:uid="{00000000-0005-0000-0000-000015060000}"/>
    <cellStyle name="_Daily Production Report Master_February'01-02-2013" xfId="1559" xr:uid="{00000000-0005-0000-0000-000016060000}"/>
    <cellStyle name="_Daily Production Report Master_February'01-02-2013_BD All Fac Weekly Eff% Status (20th Oct- 24th Oct ) ' 13" xfId="1560" xr:uid="{00000000-0005-0000-0000-000017060000}"/>
    <cellStyle name="_Daily Production Report Master_February'01-02-2013_BD All Fac Weekly Eff% Status (30th Mar -5th Apr) ' 13" xfId="1561" xr:uid="{00000000-0005-0000-0000-000018060000}"/>
    <cellStyle name="_Daily Production Report Master_January '01-01-2014" xfId="1562" xr:uid="{00000000-0005-0000-0000-000019060000}"/>
    <cellStyle name="_Daily Production Report Master_January'01-01-2013" xfId="1563" xr:uid="{00000000-0005-0000-0000-00001A060000}"/>
    <cellStyle name="_Daily Production Report Master_January'01-01-2013_BD All Fac Weekly Eff% Status (20th Oct- 24th Oct ) ' 13" xfId="1564" xr:uid="{00000000-0005-0000-0000-00001B060000}"/>
    <cellStyle name="_Daily Production Report Master_January'01-01-2013_BD All Fac Weekly Eff% Status (30th Mar -5th Apr) ' 13" xfId="1565" xr:uid="{00000000-0005-0000-0000-00001C060000}"/>
    <cellStyle name="_Daily Production Report Master_JULY '01-07-2013" xfId="1566" xr:uid="{00000000-0005-0000-0000-00001D060000}"/>
    <cellStyle name="_Daily Production Report Master_JULY '01-07-2013_BD All Fac Weekly Eff% Status (20th Oct- 24th Oct ) ' 13" xfId="1567" xr:uid="{00000000-0005-0000-0000-00001E060000}"/>
    <cellStyle name="_Daily Production Report Master_JUNE '01-06-2013" xfId="1568" xr:uid="{00000000-0005-0000-0000-00001F060000}"/>
    <cellStyle name="_Daily Production Report Master_JUNE '01-06-2013_BD All Fac Weekly Eff% Status (20th Oct- 24th Oct ) ' 13" xfId="1569" xr:uid="{00000000-0005-0000-0000-000020060000}"/>
    <cellStyle name="_Daily Production Report Master_JUNE '29-04 JULY" xfId="1570" xr:uid="{00000000-0005-0000-0000-000021060000}"/>
    <cellStyle name="_Daily Production Report Master_Lsl Daily Prdn Report Mar'121" xfId="1571" xr:uid="{00000000-0005-0000-0000-000022060000}"/>
    <cellStyle name="_Daily Production Report Master_March'" xfId="1572" xr:uid="{00000000-0005-0000-0000-000023060000}"/>
    <cellStyle name="_Daily Production Report Master_March '01-03-20146" xfId="1573" xr:uid="{00000000-0005-0000-0000-000024060000}"/>
    <cellStyle name="_Daily Production Report Master_March'_BD All Fac Weekly Eff% Status (20th Oct- 24th Oct ) ' 13" xfId="1574" xr:uid="{00000000-0005-0000-0000-000025060000}"/>
    <cellStyle name="_Daily Production Report Master_March'01-02-2013" xfId="1575" xr:uid="{00000000-0005-0000-0000-000026060000}"/>
    <cellStyle name="_Daily Production Report Master_March'01-02-2013_BD All Fac Weekly Eff% Status (20th Oct- 24th Oct ) ' 13" xfId="1576" xr:uid="{00000000-0005-0000-0000-000027060000}"/>
    <cellStyle name="_Daily Production Report Master_March'01-02-2013_BD All Fac Weekly Eff% Status (30th Mar -5th Apr) ' 13" xfId="1577" xr:uid="{00000000-0005-0000-0000-000028060000}"/>
    <cellStyle name="_Daily Production Report Master_May '01-05-2013" xfId="1578" xr:uid="{00000000-0005-0000-0000-000029060000}"/>
    <cellStyle name="_Daily Production Report Master_May '01-05-2013_BD All Fac Weekly Eff% Status (20th Oct- 24th Oct ) ' 13" xfId="1579" xr:uid="{00000000-0005-0000-0000-00002A060000}"/>
    <cellStyle name="_Daily Production Report Master_New Format December-2012" xfId="1580" xr:uid="{00000000-0005-0000-0000-00002B060000}"/>
    <cellStyle name="_Daily Production Report Master_New Format Feb-2013" xfId="1581" xr:uid="{00000000-0005-0000-0000-00002C060000}"/>
    <cellStyle name="_Daily Production Report Master_New Format Feb-2013_BD All Fac Weekly Eff% Status (20th Oct- 24th Oct ) ' 13" xfId="1582" xr:uid="{00000000-0005-0000-0000-00002D060000}"/>
    <cellStyle name="_Daily Production Report Master_New Format Feb-2013_BD All Fac Weekly Eff% Status (30th Mar -5th Apr) ' 13" xfId="1583" xr:uid="{00000000-0005-0000-0000-00002E060000}"/>
    <cellStyle name="_Daily Production Report Master_New Format February-2013" xfId="1584" xr:uid="{00000000-0005-0000-0000-00002F060000}"/>
    <cellStyle name="_Daily Production Report Master_New Format February-2013_BD All Fac Weekly Eff% Status (20th Oct- 24th Oct ) ' 13" xfId="1585" xr:uid="{00000000-0005-0000-0000-000030060000}"/>
    <cellStyle name="_Daily Production Report Master_New Format February-2013_BD All Fac Weekly Eff% Status (30th Mar -5th Apr) ' 13" xfId="1586" xr:uid="{00000000-0005-0000-0000-000031060000}"/>
    <cellStyle name="_Daily Production Report Master_New Format November-2012" xfId="1587" xr:uid="{00000000-0005-0000-0000-000032060000}"/>
    <cellStyle name="_Daily Production Report Master_November '01-10-2013" xfId="1588" xr:uid="{00000000-0005-0000-0000-000033060000}"/>
    <cellStyle name="_Daily Production Report Master_October '01-10-2013" xfId="1589" xr:uid="{00000000-0005-0000-0000-000034060000}"/>
    <cellStyle name="_Daily Production Report Master_Sep-oct" xfId="1590" xr:uid="{00000000-0005-0000-0000-000035060000}"/>
    <cellStyle name="_Daily Production Report Master_September '01-09-2013" xfId="1591" xr:uid="{00000000-0005-0000-0000-000036060000}"/>
    <cellStyle name="_Daily Production Report Master_Tsl Daily Production Report Nov '127." xfId="1592" xr:uid="{00000000-0005-0000-0000-000037060000}"/>
    <cellStyle name="_Daily Production Report Master_Weekly prdn" xfId="1593" xr:uid="{00000000-0005-0000-0000-000038060000}"/>
    <cellStyle name="_Daily Production Report Master_Weekly Status" xfId="1594" xr:uid="{00000000-0005-0000-0000-000039060000}"/>
    <cellStyle name="_Daily Production Report Master_Ycl Weekly Status (24th Nov 29th Nov)'12" xfId="1595" xr:uid="{00000000-0005-0000-0000-00003A060000}"/>
    <cellStyle name="_Daily Production Report Master_Ysl Weekly Status-201228" xfId="1596" xr:uid="{00000000-0005-0000-0000-00003B060000}"/>
    <cellStyle name="_Daily Production Report Master_Ysl Weekly Status-201229" xfId="1597" xr:uid="{00000000-0005-0000-0000-00003C060000}"/>
    <cellStyle name="_Daily Production Report Master_Ysl Weekly Status-201230" xfId="1598" xr:uid="{00000000-0005-0000-0000-00003D060000}"/>
    <cellStyle name="_Daily Production Report Master_Ysl Weekly Status-201231" xfId="1599" xr:uid="{00000000-0005-0000-0000-00003E060000}"/>
    <cellStyle name="_Daily Production Report Master_Ysl Weekly Status-201233" xfId="1600" xr:uid="{00000000-0005-0000-0000-00003F060000}"/>
    <cellStyle name="_Daily Production Report Master_Ysl Weekly Status-201234" xfId="1601" xr:uid="{00000000-0005-0000-0000-000040060000}"/>
    <cellStyle name="_Daily Production Report Master_Ysl Weekly Status-201235" xfId="1602" xr:uid="{00000000-0005-0000-0000-000041060000}"/>
    <cellStyle name="_Daily Production Report Master_Ysl Weekly Status-201236" xfId="1603" xr:uid="{00000000-0005-0000-0000-000042060000}"/>
    <cellStyle name="_Daily Production Report Master_Ysl Weekly Status-201237" xfId="1604" xr:uid="{00000000-0005-0000-0000-000043060000}"/>
    <cellStyle name="_Daily Production Report Master_Ysl Weekly Status-201238" xfId="1605" xr:uid="{00000000-0005-0000-0000-000044060000}"/>
    <cellStyle name="_Daily Production Report Master_Ysl Weekly Status-201239" xfId="1606" xr:uid="{00000000-0005-0000-0000-000045060000}"/>
    <cellStyle name="_Daily Production Report Master_Ysl Weekly Status-201240" xfId="1607" xr:uid="{00000000-0005-0000-0000-000046060000}"/>
    <cellStyle name="_Daily Production Report Master_Ysl Weekly Status-201241" xfId="1608" xr:uid="{00000000-0005-0000-0000-000047060000}"/>
    <cellStyle name="_Daily Production Report Master_Ysl Weekly Status-2013" xfId="1609" xr:uid="{00000000-0005-0000-0000-000048060000}"/>
    <cellStyle name="_Daily Production Report Master_Ysl Weekly Status-20131" xfId="1610" xr:uid="{00000000-0005-0000-0000-000049060000}"/>
    <cellStyle name="_Daily Production Report Master_Ysl Weekly Status-20132" xfId="1611" xr:uid="{00000000-0005-0000-0000-00004A060000}"/>
    <cellStyle name="_Daily Production Report Master_Ysl Weekly Status-20133" xfId="1612" xr:uid="{00000000-0005-0000-0000-00004B060000}"/>
    <cellStyle name="_Daily Production Report Master_Ysl Weekly Status-20134" xfId="1613" xr:uid="{00000000-0005-0000-0000-00004C060000}"/>
    <cellStyle name="_Daily Variance Report on 16012011-" xfId="1614" xr:uid="{00000000-0005-0000-0000-00004D060000}"/>
    <cellStyle name="_Daily Variance Report on 16012011-_3.Style Change Over YCL- 8-(E+M) 17-24 July'2011" xfId="1615" xr:uid="{00000000-0005-0000-0000-00004E060000}"/>
    <cellStyle name="_Daily Variance Report on 16012011-_4.Style Change Over YCL- 8-(E+M) 13~17 Aug, 2011" xfId="1616" xr:uid="{00000000-0005-0000-0000-00004F060000}"/>
    <cellStyle name="_Daily Variance Report on 16012011-_4.Style Change Over YCL- 8-(E+M) 13~17 Aug, 2011_After 5's" xfId="1617" xr:uid="{00000000-0005-0000-0000-000050060000}"/>
    <cellStyle name="_Daily Variance Report on 16012011-_4.Style Change Over YCL- 8-(E+M) 13~17 Aug, 2011_Base Line Data YC-8(C)" xfId="1618" xr:uid="{00000000-0005-0000-0000-000051060000}"/>
    <cellStyle name="_Daily Variance Report on 16012011-_4.Style Change Over YCL- 8-(E+M) 13~17 Aug, 2011_Base line Data-YC-15(G)" xfId="1619" xr:uid="{00000000-0005-0000-0000-000052060000}"/>
    <cellStyle name="_Daily Variance Report on 16012011-_4.Style Change Over YCL- 8-(E+M) 13~17 Aug, 2011_Book1" xfId="1620" xr:uid="{00000000-0005-0000-0000-000053060000}"/>
    <cellStyle name="_Daily Variance Report on 16012011-_4.Style Change Over YCL- 8-(E+M) 13~17 Aug, 2011_Copy of SK Raw data of SKB in Yc-6-(C) 26~31Jan '20131" xfId="1621" xr:uid="{00000000-0005-0000-0000-000054060000}"/>
    <cellStyle name="_Daily Variance Report on 16012011-_4.Style Change Over YCL- 8-(E+M) 13~17 Aug, 2011_Flow Chart YC-8(C) Before1" xfId="1622" xr:uid="{00000000-0005-0000-0000-000055060000}"/>
    <cellStyle name="_Daily Variance Report on 16012011-_4.Style Change Over YCL- 8-(E+M) 13~17 Aug, 2011_MFC(Yc 10C)" xfId="1623" xr:uid="{00000000-0005-0000-0000-000056060000}"/>
    <cellStyle name="_Daily Variance Report on 16012011-_4.Style Change Over YCL- 8-(E+M) 13~17 Aug, 2011_OCT Graph A1" xfId="1624" xr:uid="{00000000-0005-0000-0000-000057060000}"/>
    <cellStyle name="_Daily Variance Report on 16012011-_4.Style Change Over YCL- 8-(E+M) 13~17 Aug, 2011_peroto Chart YC-8" xfId="1625" xr:uid="{00000000-0005-0000-0000-000058060000}"/>
    <cellStyle name="_Daily Variance Report on 16012011-_4.Style Change Over YCL- 8-(E+M) 13~17 Aug, 2011_SK Raw data of SKB in Yc-8-(J) 01~05 Dec'2012" xfId="1626" xr:uid="{00000000-0005-0000-0000-000059060000}"/>
    <cellStyle name="_Daily Variance Report on 16012011-_4.Style Change Over YCL- 8-(E+M) 13~17 Aug, 2011_SK Raw data of SKB in Yc-8-(J) 01~05 Dec'2012_Base line Data-YC-15(G)" xfId="1627" xr:uid="{00000000-0005-0000-0000-00005A060000}"/>
    <cellStyle name="_Daily Variance Report on 16012011-_4.Style Change Over YCL- 8-(E+M) 13~17 Aug, 2011_SK Raw data of SKB in Yc-8-(J) 01~05 Dec'2012_Book1" xfId="1628" xr:uid="{00000000-0005-0000-0000-00005B060000}"/>
    <cellStyle name="_Daily Variance Report on 16012011-_4.Style Change Over YCL- 8-(E+M) 13~17 Aug, 2011_SK Raw data of SKB in Yc-8-(J) 01~05 Dec'2012_Style Changeover Data Information-" xfId="1629" xr:uid="{00000000-0005-0000-0000-00005C060000}"/>
    <cellStyle name="_Daily Variance Report on 16012011-_4.Style Change Over YCL- 8-(E+M) 13~17 Aug, 2011_SK Raw data of SKB in Yc-8-(J) 01~05 Dec'2012_Style Changeover Data Information-YCL13C" xfId="1630" xr:uid="{00000000-0005-0000-0000-00005D060000}"/>
    <cellStyle name="_Daily Variance Report on 16012011-_4.Style Change Over YCL- 8-(E+M) 13~17 Aug, 2011_SKB RAW DATA" xfId="1631" xr:uid="{00000000-0005-0000-0000-00005E060000}"/>
    <cellStyle name="_Daily Variance Report on 16012011-_4.Style Change Over YCL- 8-(E+M) 13~17 Aug, 2011_SKB YC-8(J)" xfId="1632" xr:uid="{00000000-0005-0000-0000-00005F060000}"/>
    <cellStyle name="_Daily Variance Report on 16012011-_4.Style Change Over YCL- 8-(E+M) 13~17 Aug, 2011_SKB(Sewing Kaizen - YCL 14 (A)" xfId="1633" xr:uid="{00000000-0005-0000-0000-000060060000}"/>
    <cellStyle name="_Daily Variance Report on 16012011-_4.Style Change Over YCL- 8-(E+M) 13~17 Aug, 2011_SQDC Board format (revised)-2013" xfId="1634" xr:uid="{00000000-0005-0000-0000-000061060000}"/>
    <cellStyle name="_Daily Variance Report on 16012011-_4.Style Change Over YCL- 8-(E+M) 13~17 Aug, 2011_Style Change Over YC-6 E 23~227 Mar, 2013" xfId="1635" xr:uid="{00000000-0005-0000-0000-000062060000}"/>
    <cellStyle name="_Daily Variance Report on 16012011-_4.Style Change Over YCL- 8-(E+M) 13~17 Aug, 2011_Style Change Over YC-7H  16~21 Aprl, 2013" xfId="1636" xr:uid="{00000000-0005-0000-0000-000063060000}"/>
    <cellStyle name="_Daily Variance Report on 16012011-_4.Style Change Over YCL- 8-(E+M) 13~17 Aug, 2011_Style Changeover Data Information-" xfId="1637" xr:uid="{00000000-0005-0000-0000-000064060000}"/>
    <cellStyle name="_Daily Variance Report on 16012011-_4.Style Change Over YCL- 8-(E+M) 13~17 Aug, 2011_Xl0000034" xfId="1638" xr:uid="{00000000-0005-0000-0000-000065060000}"/>
    <cellStyle name="_Daily Variance Report on 16012011-_After 5's" xfId="1639" xr:uid="{00000000-0005-0000-0000-000066060000}"/>
    <cellStyle name="_Daily Variance Report on 16012011-_Base Line Data YC-8(C)" xfId="1640" xr:uid="{00000000-0005-0000-0000-000067060000}"/>
    <cellStyle name="_Daily Variance Report on 16012011-_Base line Data-YC-15(G)" xfId="1641" xr:uid="{00000000-0005-0000-0000-000068060000}"/>
    <cellStyle name="_Daily Variance Report on 16012011-_Before 5's YC-8(C)" xfId="1642" xr:uid="{00000000-0005-0000-0000-000069060000}"/>
    <cellStyle name="_Daily Variance Report on 16012011-_Book1" xfId="1643" xr:uid="{00000000-0005-0000-0000-00006A060000}"/>
    <cellStyle name="_Daily Variance Report on 16012011-_Copy of SK Raw data of SKB in Yc-6-(C) 26~31Jan '20131" xfId="1644" xr:uid="{00000000-0005-0000-0000-00006B060000}"/>
    <cellStyle name="_Daily Variance Report on 16012011-_Flow Chart BM Groucho Jkt-YCL-8E" xfId="1645" xr:uid="{00000000-0005-0000-0000-00006C060000}"/>
    <cellStyle name="_Daily Variance Report on 16012011-_Flow Chart YC-8(C) Before1" xfId="1646" xr:uid="{00000000-0005-0000-0000-00006D060000}"/>
    <cellStyle name="_Daily Variance Report on 16012011-_Flow Chart YCL - 8-(E+M)1" xfId="1647" xr:uid="{00000000-0005-0000-0000-00006E060000}"/>
    <cellStyle name="_Daily Variance Report on 16012011-_Flow-Ycl-8-E+Mod" xfId="1648" xr:uid="{00000000-0005-0000-0000-00006F060000}"/>
    <cellStyle name="_Daily Variance Report on 16012011-_Graph-6B3" xfId="1649" xr:uid="{00000000-0005-0000-0000-000070060000}"/>
    <cellStyle name="_Daily Variance Report on 16012011-_Graph-6B4" xfId="1650" xr:uid="{00000000-0005-0000-0000-000071060000}"/>
    <cellStyle name="_Daily Variance Report on 16012011-_Graph-6B5" xfId="1651" xr:uid="{00000000-0005-0000-0000-000072060000}"/>
    <cellStyle name="_Daily Variance Report on 16012011-_Graph-8I" xfId="1652" xr:uid="{00000000-0005-0000-0000-000073060000}"/>
    <cellStyle name="_Daily Variance Report on 16012011-_MFC BEFORE" xfId="1653" xr:uid="{00000000-0005-0000-0000-000074060000}"/>
    <cellStyle name="_Daily Variance Report on 16012011-_MFC(Yc 10C)" xfId="1654" xr:uid="{00000000-0005-0000-0000-000075060000}"/>
    <cellStyle name="_Daily Variance Report on 16012011-_OCT Graph A1" xfId="1655" xr:uid="{00000000-0005-0000-0000-000076060000}"/>
    <cellStyle name="_Daily Variance Report on 16012011-_OCT-J" xfId="1656" xr:uid="{00000000-0005-0000-0000-000077060000}"/>
    <cellStyle name="_Daily Variance Report on 16012011-_OCT-J_After 5's" xfId="1657" xr:uid="{00000000-0005-0000-0000-000078060000}"/>
    <cellStyle name="_Daily Variance Report on 16012011-_OCT-J_Base Line Data YC-8(C)" xfId="1658" xr:uid="{00000000-0005-0000-0000-000079060000}"/>
    <cellStyle name="_Daily Variance Report on 16012011-_OCT-J_Base line Data-YC-15(G)" xfId="1659" xr:uid="{00000000-0005-0000-0000-00007A060000}"/>
    <cellStyle name="_Daily Variance Report on 16012011-_OCT-J_Book1" xfId="1660" xr:uid="{00000000-0005-0000-0000-00007B060000}"/>
    <cellStyle name="_Daily Variance Report on 16012011-_OCT-J_Copy of SK Raw data of SKB in Yc-6-(C) 26~31Jan '20131" xfId="1661" xr:uid="{00000000-0005-0000-0000-00007C060000}"/>
    <cellStyle name="_Daily Variance Report on 16012011-_OCT-J_Critical poin" xfId="1662" xr:uid="{00000000-0005-0000-0000-00007D060000}"/>
    <cellStyle name="_Daily Variance Report on 16012011-_OCT-J_Critical poin1" xfId="1663" xr:uid="{00000000-0005-0000-0000-00007E060000}"/>
    <cellStyle name="_Daily Variance Report on 16012011-_OCT-J_Flow Chart YC-8(C) Before1" xfId="1664" xr:uid="{00000000-0005-0000-0000-00007F060000}"/>
    <cellStyle name="_Daily Variance Report on 16012011-_OCT-J_OCT Graph A1" xfId="1665" xr:uid="{00000000-0005-0000-0000-000080060000}"/>
    <cellStyle name="_Daily Variance Report on 16012011-_OCT-J_peroto Chart YC-8" xfId="1666" xr:uid="{00000000-0005-0000-0000-000081060000}"/>
    <cellStyle name="_Daily Variance Report on 16012011-_OCT-J_SK Raw data of SKB in Yc-8-(J) 01~05 Dec'2012" xfId="1667" xr:uid="{00000000-0005-0000-0000-000082060000}"/>
    <cellStyle name="_Daily Variance Report on 16012011-_OCT-J_SK Raw data of SKB in Yc-8-(J) 01~05 Dec'2012_Base line Data-YC-15(G)" xfId="1668" xr:uid="{00000000-0005-0000-0000-000083060000}"/>
    <cellStyle name="_Daily Variance Report on 16012011-_OCT-J_SK Raw data of SKB in Yc-8-(J) 01~05 Dec'2012_Book1" xfId="1669" xr:uid="{00000000-0005-0000-0000-000084060000}"/>
    <cellStyle name="_Daily Variance Report on 16012011-_OCT-J_SK Raw data of SKB in Yc-8-(J) 01~05 Dec'2012_Style Changeover Data Information-" xfId="1670" xr:uid="{00000000-0005-0000-0000-000085060000}"/>
    <cellStyle name="_Daily Variance Report on 16012011-_OCT-J_SK Raw data of SKB in Yc-8-(J) 01~05 Dec'2012_Style Changeover Data Information-YCL13C" xfId="1671" xr:uid="{00000000-0005-0000-0000-000086060000}"/>
    <cellStyle name="_Daily Variance Report on 16012011-_OCT-J_SKB RAW DATA" xfId="1672" xr:uid="{00000000-0005-0000-0000-000087060000}"/>
    <cellStyle name="_Daily Variance Report on 16012011-_OCT-J_SKB YC-8(J)" xfId="1673" xr:uid="{00000000-0005-0000-0000-000088060000}"/>
    <cellStyle name="_Daily Variance Report on 16012011-_OCT-J_SKB(Sewing Kaizen - YCL 14 (A)" xfId="1674" xr:uid="{00000000-0005-0000-0000-000089060000}"/>
    <cellStyle name="_Daily Variance Report on 16012011-_OCT-J_SQDC Board format (revised)-2013" xfId="1675" xr:uid="{00000000-0005-0000-0000-00008A060000}"/>
    <cellStyle name="_Daily Variance Report on 16012011-_OCT-J_Style Change Over YC-7H  16~21 Aprl, 2013" xfId="1676" xr:uid="{00000000-0005-0000-0000-00008B060000}"/>
    <cellStyle name="_Daily Variance Report on 16012011-_OCT-J_Style Change Over YC-7H  16~21 Aprl, 2013_Base line Data-YC-15(G)" xfId="1677" xr:uid="{00000000-0005-0000-0000-00008C060000}"/>
    <cellStyle name="_Daily Variance Report on 16012011-_OCT-J_Style Change Over YC-7H  16~21 Aprl, 2013_Book1" xfId="1678" xr:uid="{00000000-0005-0000-0000-00008D060000}"/>
    <cellStyle name="_Daily Variance Report on 16012011-_OCT-J_Style Change Over YC-7H  16~21 Aprl, 2013_Style Changeover Data Information-" xfId="1679" xr:uid="{00000000-0005-0000-0000-00008E060000}"/>
    <cellStyle name="_Daily Variance Report on 16012011-_OCT-J_Style Change Over YC-7H  16~21 Aprl, 2013_Style Changeover Data Information-YCL13C" xfId="1680" xr:uid="{00000000-0005-0000-0000-00008F060000}"/>
    <cellStyle name="_Daily Variance Report on 16012011-_OCT-J_Style Change Over YC-9 (I)  28~02 May, 2013" xfId="1681" xr:uid="{00000000-0005-0000-0000-000090060000}"/>
    <cellStyle name="_Daily Variance Report on 16012011-_OCT-J_Style Change Over YC-9 (I)  28~02 May, 2013_Base line Data-YC-15(G)" xfId="1682" xr:uid="{00000000-0005-0000-0000-000091060000}"/>
    <cellStyle name="_Daily Variance Report on 16012011-_OCT-J_Style Change Over YC-9 (I)  28~02 May, 2013_Book1" xfId="1683" xr:uid="{00000000-0005-0000-0000-000092060000}"/>
    <cellStyle name="_Daily Variance Report on 16012011-_OCT-J_Style Change Over YC-9 (I)  28~02 May, 2013_Style Changeover Data Information-" xfId="1684" xr:uid="{00000000-0005-0000-0000-000093060000}"/>
    <cellStyle name="_Daily Variance Report on 16012011-_OCT-J_Style Change Over YC-9 (I)  28~02 May, 2013_Style Changeover Data Information-YCL13C" xfId="1685" xr:uid="{00000000-0005-0000-0000-000094060000}"/>
    <cellStyle name="_Daily Variance Report on 16012011-_OCT-J_Style Changeover Data Information-" xfId="1686" xr:uid="{00000000-0005-0000-0000-000095060000}"/>
    <cellStyle name="_Daily Variance Report on 16012011-_OCT-J_Xl0000034" xfId="1687" xr:uid="{00000000-0005-0000-0000-000096060000}"/>
    <cellStyle name="_Daily Variance Report on 16012011-_Opt training" xfId="1688" xr:uid="{00000000-0005-0000-0000-000097060000}"/>
    <cellStyle name="_Daily Variance Report on 16012011-_peroto Chart YC-8" xfId="1689" xr:uid="{00000000-0005-0000-0000-000098060000}"/>
    <cellStyle name="_Daily Variance Report on 16012011-_Raw data of Style Change Over YCL - 8-(E+M) 17-24 July'2011" xfId="1690" xr:uid="{00000000-0005-0000-0000-000099060000}"/>
    <cellStyle name="_Daily Variance Report on 16012011-_Raw data Ycl-8-F 1~4 Apr,2012" xfId="1691" xr:uid="{00000000-0005-0000-0000-00009A060000}"/>
    <cellStyle name="_Daily Variance Report on 16012011-_SK Raw data of SKB in Yc-8-(J) 01~05 Dec'2012" xfId="1692" xr:uid="{00000000-0005-0000-0000-00009B060000}"/>
    <cellStyle name="_Daily Variance Report on 16012011-_SK Raw data of SKB in Yc-8-(J) 01~05 Dec'2012_Base line Data-YC-15(G)" xfId="1693" xr:uid="{00000000-0005-0000-0000-00009C060000}"/>
    <cellStyle name="_Daily Variance Report on 16012011-_SK Raw data of SKB in Yc-8-(J) 01~05 Dec'2012_Book1" xfId="1694" xr:uid="{00000000-0005-0000-0000-00009D060000}"/>
    <cellStyle name="_Daily Variance Report on 16012011-_SK Raw data of SKB in Yc-8-(J) 01~05 Dec'2012_Style Changeover Data Information-" xfId="1695" xr:uid="{00000000-0005-0000-0000-00009E060000}"/>
    <cellStyle name="_Daily Variance Report on 16012011-_SK Raw data of SKB in Yc-8-(J) 01~05 Dec'2012_Style Changeover Data Information-YCL13C" xfId="1696" xr:uid="{00000000-0005-0000-0000-00009F060000}"/>
    <cellStyle name="_Daily Variance Report on 16012011-_SK Raw data of SKB in Yc-8-I+G2 28Apr~3May'2012" xfId="1697" xr:uid="{00000000-0005-0000-0000-0000A0060000}"/>
    <cellStyle name="_Daily Variance Report on 16012011-_SKB YC-8(J)" xfId="1698" xr:uid="{00000000-0005-0000-0000-0000A1060000}"/>
    <cellStyle name="_Daily Variance Report on 16012011-_SKB(Sewing Kaizen - YCL 14 (A)" xfId="1699" xr:uid="{00000000-0005-0000-0000-0000A2060000}"/>
    <cellStyle name="_Daily Variance Report on 16012011-_SQDC Board format (revised)-2013" xfId="1700" xr:uid="{00000000-0005-0000-0000-0000A3060000}"/>
    <cellStyle name="_Daily Variance Report on 16012011-_Style Change Over YC-6 E 23~227 Mar, 2013" xfId="1701" xr:uid="{00000000-0005-0000-0000-0000A4060000}"/>
    <cellStyle name="_Daily Variance Report on 16012011-_Style Change Over YC-7H  16~21 Aprl, 2013" xfId="1702" xr:uid="{00000000-0005-0000-0000-0000A5060000}"/>
    <cellStyle name="_Daily Variance Report on 16012011-_Style Change Over YC-8J 11~16 Feb 2012" xfId="1703" xr:uid="{00000000-0005-0000-0000-0000A6060000}"/>
    <cellStyle name="_Daily Variance Report on 16012011-_Style Change Over YC-8J 24~28 Nov, 2012" xfId="1704" xr:uid="{00000000-0005-0000-0000-0000A7060000}"/>
    <cellStyle name="_Daily Variance Report on 16012011-_Style Change Over YCL- 8-(I+G1) 25~26 Jan 2012" xfId="1705" xr:uid="{00000000-0005-0000-0000-0000A8060000}"/>
    <cellStyle name="_Daily Variance Report on 16012011-_Style Change Over YCL- 8-(J) 11-14 February 2012" xfId="1706" xr:uid="{00000000-0005-0000-0000-0000A9060000}"/>
    <cellStyle name="_Daily Variance Report on 16012011-_Style Change Over YCL- 8-(J) 11-14 February 2012_After 5's" xfId="1707" xr:uid="{00000000-0005-0000-0000-0000AA060000}"/>
    <cellStyle name="_Daily Variance Report on 16012011-_Style Change Over YCL- 8-(J) 11-14 February 2012_Base Line Data YC-8(C)" xfId="1708" xr:uid="{00000000-0005-0000-0000-0000AB060000}"/>
    <cellStyle name="_Daily Variance Report on 16012011-_Style Change Over YCL- 8-(J) 11-14 February 2012_Base line Data-YC-15(G)" xfId="1709" xr:uid="{00000000-0005-0000-0000-0000AC060000}"/>
    <cellStyle name="_Daily Variance Report on 16012011-_Style Change Over YCL- 8-(J) 11-14 February 2012_Book1" xfId="1710" xr:uid="{00000000-0005-0000-0000-0000AD060000}"/>
    <cellStyle name="_Daily Variance Report on 16012011-_Style Change Over YCL- 8-(J) 11-14 February 2012_Copy of SK Raw data of SKB in Yc-6-(C) 26~31Jan '20131" xfId="1711" xr:uid="{00000000-0005-0000-0000-0000AE060000}"/>
    <cellStyle name="_Daily Variance Report on 16012011-_Style Change Over YCL- 8-(J) 11-14 February 2012_Critical poin" xfId="1712" xr:uid="{00000000-0005-0000-0000-0000AF060000}"/>
    <cellStyle name="_Daily Variance Report on 16012011-_Style Change Over YCL- 8-(J) 11-14 February 2012_Critical poin1" xfId="1713" xr:uid="{00000000-0005-0000-0000-0000B0060000}"/>
    <cellStyle name="_Daily Variance Report on 16012011-_Style Change Over YCL- 8-(J) 11-14 February 2012_Flow Chart YC-8(C) Before1" xfId="1714" xr:uid="{00000000-0005-0000-0000-0000B1060000}"/>
    <cellStyle name="_Daily Variance Report on 16012011-_Style Change Over YCL- 8-(J) 11-14 February 2012_OCT Graph A1" xfId="1715" xr:uid="{00000000-0005-0000-0000-0000B2060000}"/>
    <cellStyle name="_Daily Variance Report on 16012011-_Style Change Over YCL- 8-(J) 11-14 February 2012_peroto Chart YC-8" xfId="1716" xr:uid="{00000000-0005-0000-0000-0000B3060000}"/>
    <cellStyle name="_Daily Variance Report on 16012011-_Style Change Over YCL- 8-(J) 11-14 February 2012_SK Raw data of SKB in Yc-8-(J) 01~05 Dec'2012" xfId="1717" xr:uid="{00000000-0005-0000-0000-0000B4060000}"/>
    <cellStyle name="_Daily Variance Report on 16012011-_Style Change Over YCL- 8-(J) 11-14 February 2012_SK Raw data of SKB in Yc-8-(J) 01~05 Dec'2012_Base line Data-YC-15(G)" xfId="1718" xr:uid="{00000000-0005-0000-0000-0000B5060000}"/>
    <cellStyle name="_Daily Variance Report on 16012011-_Style Change Over YCL- 8-(J) 11-14 February 2012_SK Raw data of SKB in Yc-8-(J) 01~05 Dec'2012_Book1" xfId="1719" xr:uid="{00000000-0005-0000-0000-0000B6060000}"/>
    <cellStyle name="_Daily Variance Report on 16012011-_Style Change Over YCL- 8-(J) 11-14 February 2012_SK Raw data of SKB in Yc-8-(J) 01~05 Dec'2012_Style Changeover Data Information-" xfId="1720" xr:uid="{00000000-0005-0000-0000-0000B7060000}"/>
    <cellStyle name="_Daily Variance Report on 16012011-_Style Change Over YCL- 8-(J) 11-14 February 2012_SK Raw data of SKB in Yc-8-(J) 01~05 Dec'2012_Style Changeover Data Information-YCL13C" xfId="1721" xr:uid="{00000000-0005-0000-0000-0000B8060000}"/>
    <cellStyle name="_Daily Variance Report on 16012011-_Style Change Over YCL- 8-(J) 11-14 February 2012_SKB RAW DATA" xfId="1722" xr:uid="{00000000-0005-0000-0000-0000B9060000}"/>
    <cellStyle name="_Daily Variance Report on 16012011-_Style Change Over YCL- 8-(J) 11-14 February 2012_SKB YC-8(J)" xfId="1723" xr:uid="{00000000-0005-0000-0000-0000BA060000}"/>
    <cellStyle name="_Daily Variance Report on 16012011-_Style Change Over YCL- 8-(J) 11-14 February 2012_SKB(Sewing Kaizen - YCL 14 (A)" xfId="1724" xr:uid="{00000000-0005-0000-0000-0000BB060000}"/>
    <cellStyle name="_Daily Variance Report on 16012011-_Style Change Over YCL- 8-(J) 11-14 February 2012_SQDC Board format (revised)-2013" xfId="1725" xr:uid="{00000000-0005-0000-0000-0000BC060000}"/>
    <cellStyle name="_Daily Variance Report on 16012011-_Style Change Over YCL- 8-(J) 11-14 February 2012_Style Change Over YC-7H  16~21 Aprl, 2013" xfId="1726" xr:uid="{00000000-0005-0000-0000-0000BD060000}"/>
    <cellStyle name="_Daily Variance Report on 16012011-_Style Change Over YCL- 8-(J) 11-14 February 2012_Style Change Over YC-7H  16~21 Aprl, 2013_Base line Data-YC-15(G)" xfId="1727" xr:uid="{00000000-0005-0000-0000-0000BE060000}"/>
    <cellStyle name="_Daily Variance Report on 16012011-_Style Change Over YCL- 8-(J) 11-14 February 2012_Style Change Over YC-7H  16~21 Aprl, 2013_Book1" xfId="1728" xr:uid="{00000000-0005-0000-0000-0000BF060000}"/>
    <cellStyle name="_Daily Variance Report on 16012011-_Style Change Over YCL- 8-(J) 11-14 February 2012_Style Change Over YC-7H  16~21 Aprl, 2013_Style Changeover Data Information-" xfId="1729" xr:uid="{00000000-0005-0000-0000-0000C0060000}"/>
    <cellStyle name="_Daily Variance Report on 16012011-_Style Change Over YCL- 8-(J) 11-14 February 2012_Style Change Over YC-7H  16~21 Aprl, 2013_Style Changeover Data Information-YCL13C" xfId="1730" xr:uid="{00000000-0005-0000-0000-0000C1060000}"/>
    <cellStyle name="_Daily Variance Report on 16012011-_Style Change Over YCL- 8-(J) 11-14 February 2012_Style Change Over YC-9 (I)  28~02 May, 2013" xfId="1731" xr:uid="{00000000-0005-0000-0000-0000C2060000}"/>
    <cellStyle name="_Daily Variance Report on 16012011-_Style Change Over YCL- 8-(J) 11-14 February 2012_Style Change Over YC-9 (I)  28~02 May, 2013_Base line Data-YC-15(G)" xfId="1732" xr:uid="{00000000-0005-0000-0000-0000C3060000}"/>
    <cellStyle name="_Daily Variance Report on 16012011-_Style Change Over YCL- 8-(J) 11-14 February 2012_Style Change Over YC-9 (I)  28~02 May, 2013_Book1" xfId="1733" xr:uid="{00000000-0005-0000-0000-0000C4060000}"/>
    <cellStyle name="_Daily Variance Report on 16012011-_Style Change Over YCL- 8-(J) 11-14 February 2012_Style Change Over YC-9 (I)  28~02 May, 2013_Style Changeover Data Information-" xfId="1734" xr:uid="{00000000-0005-0000-0000-0000C5060000}"/>
    <cellStyle name="_Daily Variance Report on 16012011-_Style Change Over YCL- 8-(J) 11-14 February 2012_Style Change Over YC-9 (I)  28~02 May, 2013_Style Changeover Data Information-YCL13C" xfId="1735" xr:uid="{00000000-0005-0000-0000-0000C6060000}"/>
    <cellStyle name="_Daily Variance Report on 16012011-_Style Change Over YCL- 8-(J) 11-14 February 2012_Style Changeover Data Information-" xfId="1736" xr:uid="{00000000-0005-0000-0000-0000C7060000}"/>
    <cellStyle name="_Daily Variance Report on 16012011-_Style Change Over YCL- 8-(J) 11-14 February 2012_Xl0000034" xfId="1737" xr:uid="{00000000-0005-0000-0000-0000C8060000}"/>
    <cellStyle name="_Daily Variance Report on 16012011-_Style Changeover Data Information-" xfId="1738" xr:uid="{00000000-0005-0000-0000-0000C9060000}"/>
    <cellStyle name="_Daily Variance Report on 16012011-_Xl0000034" xfId="1739" xr:uid="{00000000-0005-0000-0000-0000CA060000}"/>
    <cellStyle name="_Daily Variance Report on 16012011-_YC_8 F Raw data" xfId="1740" xr:uid="{00000000-0005-0000-0000-0000CB060000}"/>
    <cellStyle name="_Daily Variance Report on 16012011-_YC_8 F Raw data_After 5's" xfId="1741" xr:uid="{00000000-0005-0000-0000-0000CC060000}"/>
    <cellStyle name="_Daily Variance Report on 16012011-_YC_8 F Raw data_Base Line Data YC-8(C)" xfId="1742" xr:uid="{00000000-0005-0000-0000-0000CD060000}"/>
    <cellStyle name="_Daily Variance Report on 16012011-_YC_8 F Raw data_Base line Data-YC-15(G)" xfId="1743" xr:uid="{00000000-0005-0000-0000-0000CE060000}"/>
    <cellStyle name="_Daily Variance Report on 16012011-_YC_8 F Raw data_Book1" xfId="1744" xr:uid="{00000000-0005-0000-0000-0000CF060000}"/>
    <cellStyle name="_Daily Variance Report on 16012011-_YC_8 F Raw data_Copy of SK Raw data of SKB in Yc-6-(C) 26~31Jan '20131" xfId="1745" xr:uid="{00000000-0005-0000-0000-0000D0060000}"/>
    <cellStyle name="_Daily Variance Report on 16012011-_YC_8 F Raw data_Flow Chart YC-8(C) Before1" xfId="1746" xr:uid="{00000000-0005-0000-0000-0000D1060000}"/>
    <cellStyle name="_Daily Variance Report on 16012011-_YC_8 F Raw data_MFC(Yc 10C)" xfId="1747" xr:uid="{00000000-0005-0000-0000-0000D2060000}"/>
    <cellStyle name="_Daily Variance Report on 16012011-_YC_8 F Raw data_OCT Graph A1" xfId="1748" xr:uid="{00000000-0005-0000-0000-0000D3060000}"/>
    <cellStyle name="_Daily Variance Report on 16012011-_YC_8 F Raw data_peroto Chart YC-8" xfId="1749" xr:uid="{00000000-0005-0000-0000-0000D4060000}"/>
    <cellStyle name="_Daily Variance Report on 16012011-_YC_8 F Raw data_SK Raw data of SKB in Yc-8-(J) 01~05 Dec'2012" xfId="1750" xr:uid="{00000000-0005-0000-0000-0000D5060000}"/>
    <cellStyle name="_Daily Variance Report on 16012011-_YC_8 F Raw data_SK Raw data of SKB in Yc-8-(J) 01~05 Dec'2012_Base line Data-YC-15(G)" xfId="1751" xr:uid="{00000000-0005-0000-0000-0000D6060000}"/>
    <cellStyle name="_Daily Variance Report on 16012011-_YC_8 F Raw data_SK Raw data of SKB in Yc-8-(J) 01~05 Dec'2012_Book1" xfId="1752" xr:uid="{00000000-0005-0000-0000-0000D7060000}"/>
    <cellStyle name="_Daily Variance Report on 16012011-_YC_8 F Raw data_SK Raw data of SKB in Yc-8-(J) 01~05 Dec'2012_Style Changeover Data Information-" xfId="1753" xr:uid="{00000000-0005-0000-0000-0000D8060000}"/>
    <cellStyle name="_Daily Variance Report on 16012011-_YC_8 F Raw data_SK Raw data of SKB in Yc-8-(J) 01~05 Dec'2012_Style Changeover Data Information-YCL13C" xfId="1754" xr:uid="{00000000-0005-0000-0000-0000D9060000}"/>
    <cellStyle name="_Daily Variance Report on 16012011-_YC_8 F Raw data_SKB RAW DATA" xfId="1755" xr:uid="{00000000-0005-0000-0000-0000DA060000}"/>
    <cellStyle name="_Daily Variance Report on 16012011-_YC_8 F Raw data_SKB YC-8(J)" xfId="1756" xr:uid="{00000000-0005-0000-0000-0000DB060000}"/>
    <cellStyle name="_Daily Variance Report on 16012011-_YC_8 F Raw data_SKB(Sewing Kaizen - YCL 14 (A)" xfId="1757" xr:uid="{00000000-0005-0000-0000-0000DC060000}"/>
    <cellStyle name="_Daily Variance Report on 16012011-_YC_8 F Raw data_SQDC Board format (revised)-2013" xfId="1758" xr:uid="{00000000-0005-0000-0000-0000DD060000}"/>
    <cellStyle name="_Daily Variance Report on 16012011-_YC_8 F Raw data_Style Change Over YC-6 E 23~227 Mar, 2013" xfId="1759" xr:uid="{00000000-0005-0000-0000-0000DE060000}"/>
    <cellStyle name="_Daily Variance Report on 16012011-_YC_8 F Raw data_Style Change Over YC-7H  16~21 Aprl, 2013" xfId="1760" xr:uid="{00000000-0005-0000-0000-0000DF060000}"/>
    <cellStyle name="_Daily Variance Report on 16012011-_YC_8 F Raw data_Style Changeover Data Information-" xfId="1761" xr:uid="{00000000-0005-0000-0000-0000E0060000}"/>
    <cellStyle name="_Daily Variance Report on 16012011-_YC_8 F Raw data_Xl0000034" xfId="1762" xr:uid="{00000000-0005-0000-0000-0000E1060000}"/>
    <cellStyle name="_Daily Variance Report on 16012011-_YC-8 (I+G2) Raw data" xfId="1763" xr:uid="{00000000-0005-0000-0000-0000E2060000}"/>
    <cellStyle name="_Daily Variance Report on 16012011-_Yc-9E" xfId="1764" xr:uid="{00000000-0005-0000-0000-0000E3060000}"/>
    <cellStyle name="_Daily Variance Report on 16012011-_Yc-9E_Style Change Over YC-7H  16~21 Aprl, 2013" xfId="1765" xr:uid="{00000000-0005-0000-0000-0000E4060000}"/>
    <cellStyle name="_Daily Variance Report on 16012011-_Yc-9E_Style Change Over YC-7H  16~21 Aprl, 2013_Base line Data-YC-15(G)" xfId="1766" xr:uid="{00000000-0005-0000-0000-0000E5060000}"/>
    <cellStyle name="_Daily Variance Report on 16012011-_Yc-9E_Style Change Over YC-7H  16~21 Aprl, 2013_Book1" xfId="1767" xr:uid="{00000000-0005-0000-0000-0000E6060000}"/>
    <cellStyle name="_Daily Variance Report on 16012011-_Yc-9E_Style Change Over YC-7H  16~21 Aprl, 2013_Style Changeover Data Information-" xfId="1768" xr:uid="{00000000-0005-0000-0000-0000E7060000}"/>
    <cellStyle name="_Daily Variance Report on 16012011-_Yc-9E_Style Change Over YC-7H  16~21 Aprl, 2013_Style Changeover Data Information-YCL13C" xfId="1769" xr:uid="{00000000-0005-0000-0000-0000E8060000}"/>
    <cellStyle name="_Daily Variance Report on 16012011-_Yc-9E_Style Change Over YC-9 (I)  28~02 May, 2013" xfId="1770" xr:uid="{00000000-0005-0000-0000-0000E9060000}"/>
    <cellStyle name="_Daily Variance Report on 16012011-_Yc-9E_Style Change Over YC-9 (I)  28~02 May, 2013_Base line Data-YC-15(G)" xfId="1771" xr:uid="{00000000-0005-0000-0000-0000EA060000}"/>
    <cellStyle name="_Daily Variance Report on 16012011-_Yc-9E_Style Change Over YC-9 (I)  28~02 May, 2013_Book1" xfId="1772" xr:uid="{00000000-0005-0000-0000-0000EB060000}"/>
    <cellStyle name="_Daily Variance Report on 16012011-_Yc-9E_Style Change Over YC-9 (I)  28~02 May, 2013_Style Changeover Data Information-" xfId="1773" xr:uid="{00000000-0005-0000-0000-0000EC060000}"/>
    <cellStyle name="_Daily Variance Report on 16012011-_Yc-9E_Style Change Over YC-9 (I)  28~02 May, 2013_Style Changeover Data Information-YCL13C" xfId="1774" xr:uid="{00000000-0005-0000-0000-0000ED060000}"/>
    <cellStyle name="_Daily Variance Report on 16012011-_Yc-9E1" xfId="1775" xr:uid="{00000000-0005-0000-0000-0000EE060000}"/>
    <cellStyle name="_Daily Variance Report on 16012011-_Yc-9E1_Style Change Over YC-7H  16~21 Aprl, 2013" xfId="1776" xr:uid="{00000000-0005-0000-0000-0000EF060000}"/>
    <cellStyle name="_Daily Variance Report on 16012011-_Yc-9E1_Style Change Over YC-7H  16~21 Aprl, 2013_Base line Data-YC-15(G)" xfId="1777" xr:uid="{00000000-0005-0000-0000-0000F0060000}"/>
    <cellStyle name="_Daily Variance Report on 16012011-_Yc-9E1_Style Change Over YC-7H  16~21 Aprl, 2013_Book1" xfId="1778" xr:uid="{00000000-0005-0000-0000-0000F1060000}"/>
    <cellStyle name="_Daily Variance Report on 16012011-_Yc-9E1_Style Change Over YC-7H  16~21 Aprl, 2013_Style Changeover Data Information-" xfId="1779" xr:uid="{00000000-0005-0000-0000-0000F2060000}"/>
    <cellStyle name="_Daily Variance Report on 16012011-_Yc-9E1_Style Change Over YC-7H  16~21 Aprl, 2013_Style Changeover Data Information-YCL13C" xfId="1780" xr:uid="{00000000-0005-0000-0000-0000F3060000}"/>
    <cellStyle name="_Daily Variance Report on 16012011-_Yc-9E1_Style Change Over YC-9 (I)  28~02 May, 2013" xfId="1781" xr:uid="{00000000-0005-0000-0000-0000F4060000}"/>
    <cellStyle name="_Daily Variance Report on 16012011-_Yc-9E1_Style Change Over YC-9 (I)  28~02 May, 2013_Base line Data-YC-15(G)" xfId="1782" xr:uid="{00000000-0005-0000-0000-0000F5060000}"/>
    <cellStyle name="_Daily Variance Report on 16012011-_Yc-9E1_Style Change Over YC-9 (I)  28~02 May, 2013_Book1" xfId="1783" xr:uid="{00000000-0005-0000-0000-0000F6060000}"/>
    <cellStyle name="_Daily Variance Report on 16012011-_Yc-9E1_Style Change Over YC-9 (I)  28~02 May, 2013_Style Changeover Data Information-" xfId="1784" xr:uid="{00000000-0005-0000-0000-0000F7060000}"/>
    <cellStyle name="_Daily Variance Report on 16012011-_Yc-9E1_Style Change Over YC-9 (I)  28~02 May, 2013_Style Changeover Data Information-YCL13C" xfId="1785" xr:uid="{00000000-0005-0000-0000-0000F8060000}"/>
    <cellStyle name="_Daily Variance Report on 16012011-_YCL - 8 (H) ~ Changeover -Raw data(16 Feb~22 Feb,12)" xfId="1786" xr:uid="{00000000-0005-0000-0000-0000F9060000}"/>
    <cellStyle name="_Daily Variance Report on 16012011-_YCL- 8 E+MOD~ Changeover -Raw data(3rd April to 7th April )" xfId="1787" xr:uid="{00000000-0005-0000-0000-0000FA060000}"/>
    <cellStyle name="_Daily Variance Report on 16012011-_YCL2012_003I_SKB Presentation_YCL 8-I+G2(Changeover)_24~29 Aprl,2012 (version 1)" xfId="1788" xr:uid="{00000000-0005-0000-0000-0000FB060000}"/>
    <cellStyle name="_Daily Variance Report on 16012011-_YCL2012-010I-SKB Presentation_YCL 8(H+G1_Changeover_12~18 April, 2012" xfId="1789" xr:uid="{00000000-0005-0000-0000-0000FC060000}"/>
    <cellStyle name="_Daily Variance Report on 16012011-_YCL2012-010I-SKB Presentation_YCL 8(H+G1_Changeover_12~18 April, 2012_Base Line Data YC-8(C)" xfId="1790" xr:uid="{00000000-0005-0000-0000-0000FD060000}"/>
    <cellStyle name="_Daily Variance Report on 16012011-_YCL2012-010I-SKB Presentation_YCL 8(H+G1_Changeover_12~18 April, 2012_Base line Data-YC-15(G)" xfId="1791" xr:uid="{00000000-0005-0000-0000-0000FE060000}"/>
    <cellStyle name="_Daily Variance Report on 16012011-_YCL2012-010I-SKB Presentation_YCL 8(H+G1_Changeover_12~18 April, 2012_Book1" xfId="1792" xr:uid="{00000000-0005-0000-0000-0000FF060000}"/>
    <cellStyle name="_Daily Variance Report on 16012011-_YCL2012-010I-SKB Presentation_YCL 8(H+G1_Changeover_12~18 April, 2012_Copy of SK Raw data of SKB in Yc-6-(C) 26~31Jan '20131" xfId="1793" xr:uid="{00000000-0005-0000-0000-000000070000}"/>
    <cellStyle name="_Daily Variance Report on 16012011-_YCL2012-010I-SKB Presentation_YCL 8(H+G1_Changeover_12~18 April, 2012_Flow Chart YC-8(C) Before1" xfId="1794" xr:uid="{00000000-0005-0000-0000-000001070000}"/>
    <cellStyle name="_Daily Variance Report on 16012011-_YCL2012-010I-SKB Presentation_YCL 8(H+G1_Changeover_12~18 April, 2012_OCT Graph A1" xfId="1795" xr:uid="{00000000-0005-0000-0000-000002070000}"/>
    <cellStyle name="_Daily Variance Report on 16012011-_YCL2012-010I-SKB Presentation_YCL 8(H+G1_Changeover_12~18 April, 2012_SK Raw data of SKB in Yc-8-(J) 01~05 Dec'2012" xfId="1796" xr:uid="{00000000-0005-0000-0000-000003070000}"/>
    <cellStyle name="_Daily Variance Report on 16012011-_YCL2012-010I-SKB Presentation_YCL 8(H+G1_Changeover_12~18 April, 2012_SK Raw data of SKB in Yc-8-(J) 01~05 Dec'2012_Base line Data-YC-15(G)" xfId="1797" xr:uid="{00000000-0005-0000-0000-000004070000}"/>
    <cellStyle name="_Daily Variance Report on 16012011-_YCL2012-010I-SKB Presentation_YCL 8(H+G1_Changeover_12~18 April, 2012_SK Raw data of SKB in Yc-8-(J) 01~05 Dec'2012_Book1" xfId="1798" xr:uid="{00000000-0005-0000-0000-000005070000}"/>
    <cellStyle name="_Daily Variance Report on 16012011-_YCL2012-010I-SKB Presentation_YCL 8(H+G1_Changeover_12~18 April, 2012_SK Raw data of SKB in Yc-8-(J) 01~05 Dec'2012_Style Changeover Data Information-" xfId="1799" xr:uid="{00000000-0005-0000-0000-000006070000}"/>
    <cellStyle name="_Daily Variance Report on 16012011-_YCL2012-010I-SKB Presentation_YCL 8(H+G1_Changeover_12~18 April, 2012_SK Raw data of SKB in Yc-8-(J) 01~05 Dec'2012_Style Changeover Data Information-YCL13C" xfId="1800" xr:uid="{00000000-0005-0000-0000-000007070000}"/>
    <cellStyle name="_Daily Variance Report on 16012011-_YCL2012-010I-SKB Presentation_YCL 8(H+G1_Changeover_12~18 April, 2012_SKB RAW DATA" xfId="1801" xr:uid="{00000000-0005-0000-0000-000008070000}"/>
    <cellStyle name="_Daily Variance Report on 16012011-_YCL2012-010I-SKB Presentation_YCL 8(H+G1_Changeover_12~18 April, 2012_SKB YC-8(J)" xfId="1802" xr:uid="{00000000-0005-0000-0000-000009070000}"/>
    <cellStyle name="_Daily Variance Report on 16012011-_YCL2012-010I-SKB Presentation_YCL 8(H+G1_Changeover_12~18 April, 2012_SKB(Sewing Kaizen - YCL 14 (A)" xfId="1803" xr:uid="{00000000-0005-0000-0000-00000A070000}"/>
    <cellStyle name="_Daily Variance Report on 16012011-_YCL2012-010I-SKB Presentation_YCL 8(H+G1_Changeover_12~18 April, 2012_SQDC Board format (revised)-2013" xfId="1804" xr:uid="{00000000-0005-0000-0000-00000B070000}"/>
    <cellStyle name="_Daily Variance Report on 16012011-_YCL2012-010I-SKB Presentation_YCL 8(H+G1_Changeover_12~18 April, 2012_Style Changeover Data Information-" xfId="1805" xr:uid="{00000000-0005-0000-0000-00000C070000}"/>
    <cellStyle name="_Daily Variance Report on 16012011-_YCL2012-010I-SKB Presentation_YCL 8(H+G1_Changeover_12~18 April, 2012_Xl0000034" xfId="1806" xr:uid="{00000000-0005-0000-0000-00000D070000}"/>
    <cellStyle name="_Daily Variance Report on 16012011-_Ycl-6C" xfId="1807" xr:uid="{00000000-0005-0000-0000-00000E070000}"/>
    <cellStyle name="_Daily Variance Report on 16012011-_Ycl-7H" xfId="1808" xr:uid="{00000000-0005-0000-0000-00000F070000}"/>
    <cellStyle name="_Daily Variance Report on 16012011-_Ycl-7H_Base line Data-YC-15(G)" xfId="1809" xr:uid="{00000000-0005-0000-0000-000010070000}"/>
    <cellStyle name="_Daily Variance Report on 16012011-_Ycl-7H_Book1" xfId="1810" xr:uid="{00000000-0005-0000-0000-000011070000}"/>
    <cellStyle name="_Daily Variance Report on 16012011-_Ycl-7H_Style Changeover Data Information-" xfId="1811" xr:uid="{00000000-0005-0000-0000-000012070000}"/>
    <cellStyle name="_Daily Variance Report on 16012011-_Ycl-7H_Style Changeover Data Information-YCL13C" xfId="1812" xr:uid="{00000000-0005-0000-0000-000013070000}"/>
    <cellStyle name="_Daily Variance Report on 24012011-" xfId="1813" xr:uid="{00000000-0005-0000-0000-000014070000}"/>
    <cellStyle name="_Daily Variance Report on 24012011-_3.Style Change Over YCL- 8-(E+M) 17-24 July'2011" xfId="1814" xr:uid="{00000000-0005-0000-0000-000015070000}"/>
    <cellStyle name="_Daily Variance Report on 24012011-_4.Style Change Over YCL- 8-(E+M) 13~17 Aug, 2011" xfId="1815" xr:uid="{00000000-0005-0000-0000-000016070000}"/>
    <cellStyle name="_Daily Variance Report on 24012011-_4.Style Change Over YCL- 8-(E+M) 13~17 Aug, 2011_After 5's" xfId="1816" xr:uid="{00000000-0005-0000-0000-000017070000}"/>
    <cellStyle name="_Daily Variance Report on 24012011-_4.Style Change Over YCL- 8-(E+M) 13~17 Aug, 2011_Base Line Data YC-8(C)" xfId="1817" xr:uid="{00000000-0005-0000-0000-000018070000}"/>
    <cellStyle name="_Daily Variance Report on 24012011-_4.Style Change Over YCL- 8-(E+M) 13~17 Aug, 2011_Base line Data-YC-15(G)" xfId="1818" xr:uid="{00000000-0005-0000-0000-000019070000}"/>
    <cellStyle name="_Daily Variance Report on 24012011-_4.Style Change Over YCL- 8-(E+M) 13~17 Aug, 2011_Book1" xfId="1819" xr:uid="{00000000-0005-0000-0000-00001A070000}"/>
    <cellStyle name="_Daily Variance Report on 24012011-_4.Style Change Over YCL- 8-(E+M) 13~17 Aug, 2011_Copy of SK Raw data of SKB in Yc-6-(C) 26~31Jan '20131" xfId="1820" xr:uid="{00000000-0005-0000-0000-00001B070000}"/>
    <cellStyle name="_Daily Variance Report on 24012011-_4.Style Change Over YCL- 8-(E+M) 13~17 Aug, 2011_Flow Chart YC-8(C) Before1" xfId="1821" xr:uid="{00000000-0005-0000-0000-00001C070000}"/>
    <cellStyle name="_Daily Variance Report on 24012011-_4.Style Change Over YCL- 8-(E+M) 13~17 Aug, 2011_MFC(Yc 10C)" xfId="1822" xr:uid="{00000000-0005-0000-0000-00001D070000}"/>
    <cellStyle name="_Daily Variance Report on 24012011-_4.Style Change Over YCL- 8-(E+M) 13~17 Aug, 2011_OCT Graph A1" xfId="1823" xr:uid="{00000000-0005-0000-0000-00001E070000}"/>
    <cellStyle name="_Daily Variance Report on 24012011-_4.Style Change Over YCL- 8-(E+M) 13~17 Aug, 2011_peroto Chart YC-8" xfId="1824" xr:uid="{00000000-0005-0000-0000-00001F070000}"/>
    <cellStyle name="_Daily Variance Report on 24012011-_4.Style Change Over YCL- 8-(E+M) 13~17 Aug, 2011_SK Raw data of SKB in Yc-8-(J) 01~05 Dec'2012" xfId="1825" xr:uid="{00000000-0005-0000-0000-000020070000}"/>
    <cellStyle name="_Daily Variance Report on 24012011-_4.Style Change Over YCL- 8-(E+M) 13~17 Aug, 2011_SK Raw data of SKB in Yc-8-(J) 01~05 Dec'2012_Base line Data-YC-15(G)" xfId="1826" xr:uid="{00000000-0005-0000-0000-000021070000}"/>
    <cellStyle name="_Daily Variance Report on 24012011-_4.Style Change Over YCL- 8-(E+M) 13~17 Aug, 2011_SK Raw data of SKB in Yc-8-(J) 01~05 Dec'2012_Book1" xfId="1827" xr:uid="{00000000-0005-0000-0000-000022070000}"/>
    <cellStyle name="_Daily Variance Report on 24012011-_4.Style Change Over YCL- 8-(E+M) 13~17 Aug, 2011_SK Raw data of SKB in Yc-8-(J) 01~05 Dec'2012_Style Changeover Data Information-" xfId="1828" xr:uid="{00000000-0005-0000-0000-000023070000}"/>
    <cellStyle name="_Daily Variance Report on 24012011-_4.Style Change Over YCL- 8-(E+M) 13~17 Aug, 2011_SK Raw data of SKB in Yc-8-(J) 01~05 Dec'2012_Style Changeover Data Information-YCL13C" xfId="1829" xr:uid="{00000000-0005-0000-0000-000024070000}"/>
    <cellStyle name="_Daily Variance Report on 24012011-_4.Style Change Over YCL- 8-(E+M) 13~17 Aug, 2011_SKB RAW DATA" xfId="1830" xr:uid="{00000000-0005-0000-0000-000025070000}"/>
    <cellStyle name="_Daily Variance Report on 24012011-_4.Style Change Over YCL- 8-(E+M) 13~17 Aug, 2011_SKB YC-8(J)" xfId="1831" xr:uid="{00000000-0005-0000-0000-000026070000}"/>
    <cellStyle name="_Daily Variance Report on 24012011-_4.Style Change Over YCL- 8-(E+M) 13~17 Aug, 2011_SKB(Sewing Kaizen - YCL 14 (A)" xfId="1832" xr:uid="{00000000-0005-0000-0000-000027070000}"/>
    <cellStyle name="_Daily Variance Report on 24012011-_4.Style Change Over YCL- 8-(E+M) 13~17 Aug, 2011_SQDC Board format (revised)-2013" xfId="1833" xr:uid="{00000000-0005-0000-0000-000028070000}"/>
    <cellStyle name="_Daily Variance Report on 24012011-_4.Style Change Over YCL- 8-(E+M) 13~17 Aug, 2011_Style Change Over YC-6 E 23~227 Mar, 2013" xfId="1834" xr:uid="{00000000-0005-0000-0000-000029070000}"/>
    <cellStyle name="_Daily Variance Report on 24012011-_4.Style Change Over YCL- 8-(E+M) 13~17 Aug, 2011_Style Change Over YC-7H  16~21 Aprl, 2013" xfId="1835" xr:uid="{00000000-0005-0000-0000-00002A070000}"/>
    <cellStyle name="_Daily Variance Report on 24012011-_4.Style Change Over YCL- 8-(E+M) 13~17 Aug, 2011_Style Changeover Data Information-" xfId="1836" xr:uid="{00000000-0005-0000-0000-00002B070000}"/>
    <cellStyle name="_Daily Variance Report on 24012011-_4.Style Change Over YCL- 8-(E+M) 13~17 Aug, 2011_Xl0000034" xfId="1837" xr:uid="{00000000-0005-0000-0000-00002C070000}"/>
    <cellStyle name="_Daily Variance Report on 24012011-_After 5's" xfId="1838" xr:uid="{00000000-0005-0000-0000-00002D070000}"/>
    <cellStyle name="_Daily Variance Report on 24012011-_Base Line Data YC-8(C)" xfId="1839" xr:uid="{00000000-0005-0000-0000-00002E070000}"/>
    <cellStyle name="_Daily Variance Report on 24012011-_Base line Data-YC-15(G)" xfId="1840" xr:uid="{00000000-0005-0000-0000-00002F070000}"/>
    <cellStyle name="_Daily Variance Report on 24012011-_Before 5's YC-8(C)" xfId="1841" xr:uid="{00000000-0005-0000-0000-000030070000}"/>
    <cellStyle name="_Daily Variance Report on 24012011-_Book1" xfId="1842" xr:uid="{00000000-0005-0000-0000-000031070000}"/>
    <cellStyle name="_Daily Variance Report on 24012011-_Copy of SK Raw data of SKB in Yc-6-(C) 26~31Jan '20131" xfId="1843" xr:uid="{00000000-0005-0000-0000-000032070000}"/>
    <cellStyle name="_Daily Variance Report on 24012011-_Flow Chart BM Groucho Jkt-YCL-8E" xfId="1844" xr:uid="{00000000-0005-0000-0000-000033070000}"/>
    <cellStyle name="_Daily Variance Report on 24012011-_Flow Chart YC-8(C) Before1" xfId="1845" xr:uid="{00000000-0005-0000-0000-000034070000}"/>
    <cellStyle name="_Daily Variance Report on 24012011-_Flow Chart YCL - 8-(E+M)1" xfId="1846" xr:uid="{00000000-0005-0000-0000-000035070000}"/>
    <cellStyle name="_Daily Variance Report on 24012011-_Flow-Ycl-8-E+Mod" xfId="1847" xr:uid="{00000000-0005-0000-0000-000036070000}"/>
    <cellStyle name="_Daily Variance Report on 24012011-_Graph-6B3" xfId="1848" xr:uid="{00000000-0005-0000-0000-000037070000}"/>
    <cellStyle name="_Daily Variance Report on 24012011-_Graph-6B4" xfId="1849" xr:uid="{00000000-0005-0000-0000-000038070000}"/>
    <cellStyle name="_Daily Variance Report on 24012011-_Graph-6B5" xfId="1850" xr:uid="{00000000-0005-0000-0000-000039070000}"/>
    <cellStyle name="_Daily Variance Report on 24012011-_Graph-8I" xfId="1851" xr:uid="{00000000-0005-0000-0000-00003A070000}"/>
    <cellStyle name="_Daily Variance Report on 24012011-_MFC BEFORE" xfId="1852" xr:uid="{00000000-0005-0000-0000-00003B070000}"/>
    <cellStyle name="_Daily Variance Report on 24012011-_MFC(Yc 10C)" xfId="1853" xr:uid="{00000000-0005-0000-0000-00003C070000}"/>
    <cellStyle name="_Daily Variance Report on 24012011-_OCT Graph A1" xfId="1854" xr:uid="{00000000-0005-0000-0000-00003D070000}"/>
    <cellStyle name="_Daily Variance Report on 24012011-_OCT-J" xfId="1855" xr:uid="{00000000-0005-0000-0000-00003E070000}"/>
    <cellStyle name="_Daily Variance Report on 24012011-_OCT-J_After 5's" xfId="1856" xr:uid="{00000000-0005-0000-0000-00003F070000}"/>
    <cellStyle name="_Daily Variance Report on 24012011-_OCT-J_Base Line Data YC-8(C)" xfId="1857" xr:uid="{00000000-0005-0000-0000-000040070000}"/>
    <cellStyle name="_Daily Variance Report on 24012011-_OCT-J_Base line Data-YC-15(G)" xfId="1858" xr:uid="{00000000-0005-0000-0000-000041070000}"/>
    <cellStyle name="_Daily Variance Report on 24012011-_OCT-J_Book1" xfId="1859" xr:uid="{00000000-0005-0000-0000-000042070000}"/>
    <cellStyle name="_Daily Variance Report on 24012011-_OCT-J_Copy of SK Raw data of SKB in Yc-6-(C) 26~31Jan '20131" xfId="1860" xr:uid="{00000000-0005-0000-0000-000043070000}"/>
    <cellStyle name="_Daily Variance Report on 24012011-_OCT-J_Critical poin" xfId="1861" xr:uid="{00000000-0005-0000-0000-000044070000}"/>
    <cellStyle name="_Daily Variance Report on 24012011-_OCT-J_Critical poin1" xfId="1862" xr:uid="{00000000-0005-0000-0000-000045070000}"/>
    <cellStyle name="_Daily Variance Report on 24012011-_OCT-J_Flow Chart YC-8(C) Before1" xfId="1863" xr:uid="{00000000-0005-0000-0000-000046070000}"/>
    <cellStyle name="_Daily Variance Report on 24012011-_OCT-J_OCT Graph A1" xfId="1864" xr:uid="{00000000-0005-0000-0000-000047070000}"/>
    <cellStyle name="_Daily Variance Report on 24012011-_OCT-J_peroto Chart YC-8" xfId="1865" xr:uid="{00000000-0005-0000-0000-000048070000}"/>
    <cellStyle name="_Daily Variance Report on 24012011-_OCT-J_SK Raw data of SKB in Yc-8-(J) 01~05 Dec'2012" xfId="1866" xr:uid="{00000000-0005-0000-0000-000049070000}"/>
    <cellStyle name="_Daily Variance Report on 24012011-_OCT-J_SK Raw data of SKB in Yc-8-(J) 01~05 Dec'2012_Base line Data-YC-15(G)" xfId="1867" xr:uid="{00000000-0005-0000-0000-00004A070000}"/>
    <cellStyle name="_Daily Variance Report on 24012011-_OCT-J_SK Raw data of SKB in Yc-8-(J) 01~05 Dec'2012_Book1" xfId="1868" xr:uid="{00000000-0005-0000-0000-00004B070000}"/>
    <cellStyle name="_Daily Variance Report on 24012011-_OCT-J_SK Raw data of SKB in Yc-8-(J) 01~05 Dec'2012_Style Changeover Data Information-" xfId="1869" xr:uid="{00000000-0005-0000-0000-00004C070000}"/>
    <cellStyle name="_Daily Variance Report on 24012011-_OCT-J_SK Raw data of SKB in Yc-8-(J) 01~05 Dec'2012_Style Changeover Data Information-YCL13C" xfId="1870" xr:uid="{00000000-0005-0000-0000-00004D070000}"/>
    <cellStyle name="_Daily Variance Report on 24012011-_OCT-J_SKB RAW DATA" xfId="1871" xr:uid="{00000000-0005-0000-0000-00004E070000}"/>
    <cellStyle name="_Daily Variance Report on 24012011-_OCT-J_SKB YC-8(J)" xfId="1872" xr:uid="{00000000-0005-0000-0000-00004F070000}"/>
    <cellStyle name="_Daily Variance Report on 24012011-_OCT-J_SKB(Sewing Kaizen - YCL 14 (A)" xfId="1873" xr:uid="{00000000-0005-0000-0000-000050070000}"/>
    <cellStyle name="_Daily Variance Report on 24012011-_OCT-J_SQDC Board format (revised)-2013" xfId="1874" xr:uid="{00000000-0005-0000-0000-000051070000}"/>
    <cellStyle name="_Daily Variance Report on 24012011-_OCT-J_Style Change Over YC-7H  16~21 Aprl, 2013" xfId="1875" xr:uid="{00000000-0005-0000-0000-000052070000}"/>
    <cellStyle name="_Daily Variance Report on 24012011-_OCT-J_Style Change Over YC-7H  16~21 Aprl, 2013_Base line Data-YC-15(G)" xfId="1876" xr:uid="{00000000-0005-0000-0000-000053070000}"/>
    <cellStyle name="_Daily Variance Report on 24012011-_OCT-J_Style Change Over YC-7H  16~21 Aprl, 2013_Book1" xfId="1877" xr:uid="{00000000-0005-0000-0000-000054070000}"/>
    <cellStyle name="_Daily Variance Report on 24012011-_OCT-J_Style Change Over YC-7H  16~21 Aprl, 2013_Style Changeover Data Information-" xfId="1878" xr:uid="{00000000-0005-0000-0000-000055070000}"/>
    <cellStyle name="_Daily Variance Report on 24012011-_OCT-J_Style Change Over YC-7H  16~21 Aprl, 2013_Style Changeover Data Information-YCL13C" xfId="1879" xr:uid="{00000000-0005-0000-0000-000056070000}"/>
    <cellStyle name="_Daily Variance Report on 24012011-_OCT-J_Style Change Over YC-9 (I)  28~02 May, 2013" xfId="1880" xr:uid="{00000000-0005-0000-0000-000057070000}"/>
    <cellStyle name="_Daily Variance Report on 24012011-_OCT-J_Style Change Over YC-9 (I)  28~02 May, 2013_Base line Data-YC-15(G)" xfId="1881" xr:uid="{00000000-0005-0000-0000-000058070000}"/>
    <cellStyle name="_Daily Variance Report on 24012011-_OCT-J_Style Change Over YC-9 (I)  28~02 May, 2013_Book1" xfId="1882" xr:uid="{00000000-0005-0000-0000-000059070000}"/>
    <cellStyle name="_Daily Variance Report on 24012011-_OCT-J_Style Change Over YC-9 (I)  28~02 May, 2013_Style Changeover Data Information-" xfId="1883" xr:uid="{00000000-0005-0000-0000-00005A070000}"/>
    <cellStyle name="_Daily Variance Report on 24012011-_OCT-J_Style Change Over YC-9 (I)  28~02 May, 2013_Style Changeover Data Information-YCL13C" xfId="1884" xr:uid="{00000000-0005-0000-0000-00005B070000}"/>
    <cellStyle name="_Daily Variance Report on 24012011-_OCT-J_Style Changeover Data Information-" xfId="1885" xr:uid="{00000000-0005-0000-0000-00005C070000}"/>
    <cellStyle name="_Daily Variance Report on 24012011-_OCT-J_Xl0000034" xfId="1886" xr:uid="{00000000-0005-0000-0000-00005D070000}"/>
    <cellStyle name="_Daily Variance Report on 24012011-_Opt training" xfId="1887" xr:uid="{00000000-0005-0000-0000-00005E070000}"/>
    <cellStyle name="_Daily Variance Report on 24012011-_peroto Chart YC-8" xfId="1888" xr:uid="{00000000-0005-0000-0000-00005F070000}"/>
    <cellStyle name="_Daily Variance Report on 24012011-_Raw data of Style Change Over YCL - 8-(E+M) 17-24 July'2011" xfId="1889" xr:uid="{00000000-0005-0000-0000-000060070000}"/>
    <cellStyle name="_Daily Variance Report on 24012011-_Raw data Ycl-8-F 1~4 Apr,2012" xfId="1890" xr:uid="{00000000-0005-0000-0000-000061070000}"/>
    <cellStyle name="_Daily Variance Report on 24012011-_SK Raw data of SKB in Yc-8-(J) 01~05 Dec'2012" xfId="1891" xr:uid="{00000000-0005-0000-0000-000062070000}"/>
    <cellStyle name="_Daily Variance Report on 24012011-_SK Raw data of SKB in Yc-8-(J) 01~05 Dec'2012_Base line Data-YC-15(G)" xfId="1892" xr:uid="{00000000-0005-0000-0000-000063070000}"/>
    <cellStyle name="_Daily Variance Report on 24012011-_SK Raw data of SKB in Yc-8-(J) 01~05 Dec'2012_Book1" xfId="1893" xr:uid="{00000000-0005-0000-0000-000064070000}"/>
    <cellStyle name="_Daily Variance Report on 24012011-_SK Raw data of SKB in Yc-8-(J) 01~05 Dec'2012_Style Changeover Data Information-" xfId="1894" xr:uid="{00000000-0005-0000-0000-000065070000}"/>
    <cellStyle name="_Daily Variance Report on 24012011-_SK Raw data of SKB in Yc-8-(J) 01~05 Dec'2012_Style Changeover Data Information-YCL13C" xfId="1895" xr:uid="{00000000-0005-0000-0000-000066070000}"/>
    <cellStyle name="_Daily Variance Report on 24012011-_SK Raw data of SKB in Yc-8-I+G2 28Apr~3May'2012" xfId="1896" xr:uid="{00000000-0005-0000-0000-000067070000}"/>
    <cellStyle name="_Daily Variance Report on 24012011-_SKB YC-8(J)" xfId="1897" xr:uid="{00000000-0005-0000-0000-000068070000}"/>
    <cellStyle name="_Daily Variance Report on 24012011-_SKB(Sewing Kaizen - YCL 14 (A)" xfId="1898" xr:uid="{00000000-0005-0000-0000-000069070000}"/>
    <cellStyle name="_Daily Variance Report on 24012011-_SQDC Board format (revised)-2013" xfId="1899" xr:uid="{00000000-0005-0000-0000-00006A070000}"/>
    <cellStyle name="_Daily Variance Report on 24012011-_Style Change Over YC-6 E 23~227 Mar, 2013" xfId="1900" xr:uid="{00000000-0005-0000-0000-00006B070000}"/>
    <cellStyle name="_Daily Variance Report on 24012011-_Style Change Over YC-7H  16~21 Aprl, 2013" xfId="1901" xr:uid="{00000000-0005-0000-0000-00006C070000}"/>
    <cellStyle name="_Daily Variance Report on 24012011-_Style Change Over YC-8J 11~16 Feb 2012" xfId="1902" xr:uid="{00000000-0005-0000-0000-00006D070000}"/>
    <cellStyle name="_Daily Variance Report on 24012011-_Style Change Over YC-8J 24~28 Nov, 2012" xfId="1903" xr:uid="{00000000-0005-0000-0000-00006E070000}"/>
    <cellStyle name="_Daily Variance Report on 24012011-_Style Change Over YCL- 8-(I+G1) 25~26 Jan 2012" xfId="1904" xr:uid="{00000000-0005-0000-0000-00006F070000}"/>
    <cellStyle name="_Daily Variance Report on 24012011-_Style Change Over YCL- 8-(J) 11-14 February 2012" xfId="1905" xr:uid="{00000000-0005-0000-0000-000070070000}"/>
    <cellStyle name="_Daily Variance Report on 24012011-_Style Change Over YCL- 8-(J) 11-14 February 2012_After 5's" xfId="1906" xr:uid="{00000000-0005-0000-0000-000071070000}"/>
    <cellStyle name="_Daily Variance Report on 24012011-_Style Change Over YCL- 8-(J) 11-14 February 2012_Base Line Data YC-8(C)" xfId="1907" xr:uid="{00000000-0005-0000-0000-000072070000}"/>
    <cellStyle name="_Daily Variance Report on 24012011-_Style Change Over YCL- 8-(J) 11-14 February 2012_Base line Data-YC-15(G)" xfId="1908" xr:uid="{00000000-0005-0000-0000-000073070000}"/>
    <cellStyle name="_Daily Variance Report on 24012011-_Style Change Over YCL- 8-(J) 11-14 February 2012_Book1" xfId="1909" xr:uid="{00000000-0005-0000-0000-000074070000}"/>
    <cellStyle name="_Daily Variance Report on 24012011-_Style Change Over YCL- 8-(J) 11-14 February 2012_Copy of SK Raw data of SKB in Yc-6-(C) 26~31Jan '20131" xfId="1910" xr:uid="{00000000-0005-0000-0000-000075070000}"/>
    <cellStyle name="_Daily Variance Report on 24012011-_Style Change Over YCL- 8-(J) 11-14 February 2012_Critical poin" xfId="1911" xr:uid="{00000000-0005-0000-0000-000076070000}"/>
    <cellStyle name="_Daily Variance Report on 24012011-_Style Change Over YCL- 8-(J) 11-14 February 2012_Critical poin1" xfId="1912" xr:uid="{00000000-0005-0000-0000-000077070000}"/>
    <cellStyle name="_Daily Variance Report on 24012011-_Style Change Over YCL- 8-(J) 11-14 February 2012_Flow Chart YC-8(C) Before1" xfId="1913" xr:uid="{00000000-0005-0000-0000-000078070000}"/>
    <cellStyle name="_Daily Variance Report on 24012011-_Style Change Over YCL- 8-(J) 11-14 February 2012_OCT Graph A1" xfId="1914" xr:uid="{00000000-0005-0000-0000-000079070000}"/>
    <cellStyle name="_Daily Variance Report on 24012011-_Style Change Over YCL- 8-(J) 11-14 February 2012_peroto Chart YC-8" xfId="1915" xr:uid="{00000000-0005-0000-0000-00007A070000}"/>
    <cellStyle name="_Daily Variance Report on 24012011-_Style Change Over YCL- 8-(J) 11-14 February 2012_SK Raw data of SKB in Yc-8-(J) 01~05 Dec'2012" xfId="1916" xr:uid="{00000000-0005-0000-0000-00007B070000}"/>
    <cellStyle name="_Daily Variance Report on 24012011-_Style Change Over YCL- 8-(J) 11-14 February 2012_SK Raw data of SKB in Yc-8-(J) 01~05 Dec'2012_Base line Data-YC-15(G)" xfId="1917" xr:uid="{00000000-0005-0000-0000-00007C070000}"/>
    <cellStyle name="_Daily Variance Report on 24012011-_Style Change Over YCL- 8-(J) 11-14 February 2012_SK Raw data of SKB in Yc-8-(J) 01~05 Dec'2012_Book1" xfId="1918" xr:uid="{00000000-0005-0000-0000-00007D070000}"/>
    <cellStyle name="_Daily Variance Report on 24012011-_Style Change Over YCL- 8-(J) 11-14 February 2012_SK Raw data of SKB in Yc-8-(J) 01~05 Dec'2012_Style Changeover Data Information-" xfId="1919" xr:uid="{00000000-0005-0000-0000-00007E070000}"/>
    <cellStyle name="_Daily Variance Report on 24012011-_Style Change Over YCL- 8-(J) 11-14 February 2012_SK Raw data of SKB in Yc-8-(J) 01~05 Dec'2012_Style Changeover Data Information-YCL13C" xfId="1920" xr:uid="{00000000-0005-0000-0000-00007F070000}"/>
    <cellStyle name="_Daily Variance Report on 24012011-_Style Change Over YCL- 8-(J) 11-14 February 2012_SKB RAW DATA" xfId="1921" xr:uid="{00000000-0005-0000-0000-000080070000}"/>
    <cellStyle name="_Daily Variance Report on 24012011-_Style Change Over YCL- 8-(J) 11-14 February 2012_SKB YC-8(J)" xfId="1922" xr:uid="{00000000-0005-0000-0000-000081070000}"/>
    <cellStyle name="_Daily Variance Report on 24012011-_Style Change Over YCL- 8-(J) 11-14 February 2012_SKB(Sewing Kaizen - YCL 14 (A)" xfId="1923" xr:uid="{00000000-0005-0000-0000-000082070000}"/>
    <cellStyle name="_Daily Variance Report on 24012011-_Style Change Over YCL- 8-(J) 11-14 February 2012_SQDC Board format (revised)-2013" xfId="1924" xr:uid="{00000000-0005-0000-0000-000083070000}"/>
    <cellStyle name="_Daily Variance Report on 24012011-_Style Change Over YCL- 8-(J) 11-14 February 2012_Style Change Over YC-7H  16~21 Aprl, 2013" xfId="1925" xr:uid="{00000000-0005-0000-0000-000084070000}"/>
    <cellStyle name="_Daily Variance Report on 24012011-_Style Change Over YCL- 8-(J) 11-14 February 2012_Style Change Over YC-7H  16~21 Aprl, 2013_Base line Data-YC-15(G)" xfId="1926" xr:uid="{00000000-0005-0000-0000-000085070000}"/>
    <cellStyle name="_Daily Variance Report on 24012011-_Style Change Over YCL- 8-(J) 11-14 February 2012_Style Change Over YC-7H  16~21 Aprl, 2013_Book1" xfId="1927" xr:uid="{00000000-0005-0000-0000-000086070000}"/>
    <cellStyle name="_Daily Variance Report on 24012011-_Style Change Over YCL- 8-(J) 11-14 February 2012_Style Change Over YC-7H  16~21 Aprl, 2013_Style Changeover Data Information-" xfId="1928" xr:uid="{00000000-0005-0000-0000-000087070000}"/>
    <cellStyle name="_Daily Variance Report on 24012011-_Style Change Over YCL- 8-(J) 11-14 February 2012_Style Change Over YC-7H  16~21 Aprl, 2013_Style Changeover Data Information-YCL13C" xfId="1929" xr:uid="{00000000-0005-0000-0000-000088070000}"/>
    <cellStyle name="_Daily Variance Report on 24012011-_Style Change Over YCL- 8-(J) 11-14 February 2012_Style Change Over YC-9 (I)  28~02 May, 2013" xfId="1930" xr:uid="{00000000-0005-0000-0000-000089070000}"/>
    <cellStyle name="_Daily Variance Report on 24012011-_Style Change Over YCL- 8-(J) 11-14 February 2012_Style Change Over YC-9 (I)  28~02 May, 2013_Base line Data-YC-15(G)" xfId="1931" xr:uid="{00000000-0005-0000-0000-00008A070000}"/>
    <cellStyle name="_Daily Variance Report on 24012011-_Style Change Over YCL- 8-(J) 11-14 February 2012_Style Change Over YC-9 (I)  28~02 May, 2013_Book1" xfId="1932" xr:uid="{00000000-0005-0000-0000-00008B070000}"/>
    <cellStyle name="_Daily Variance Report on 24012011-_Style Change Over YCL- 8-(J) 11-14 February 2012_Style Change Over YC-9 (I)  28~02 May, 2013_Style Changeover Data Information-" xfId="1933" xr:uid="{00000000-0005-0000-0000-00008C070000}"/>
    <cellStyle name="_Daily Variance Report on 24012011-_Style Change Over YCL- 8-(J) 11-14 February 2012_Style Change Over YC-9 (I)  28~02 May, 2013_Style Changeover Data Information-YCL13C" xfId="1934" xr:uid="{00000000-0005-0000-0000-00008D070000}"/>
    <cellStyle name="_Daily Variance Report on 24012011-_Style Change Over YCL- 8-(J) 11-14 February 2012_Style Changeover Data Information-" xfId="1935" xr:uid="{00000000-0005-0000-0000-00008E070000}"/>
    <cellStyle name="_Daily Variance Report on 24012011-_Style Change Over YCL- 8-(J) 11-14 February 2012_Xl0000034" xfId="1936" xr:uid="{00000000-0005-0000-0000-00008F070000}"/>
    <cellStyle name="_Daily Variance Report on 24012011-_Style Changeover Data Information-" xfId="1937" xr:uid="{00000000-0005-0000-0000-000090070000}"/>
    <cellStyle name="_Daily Variance Report on 24012011-_Xl0000034" xfId="1938" xr:uid="{00000000-0005-0000-0000-000091070000}"/>
    <cellStyle name="_Daily Variance Report on 24012011-_YC_8 F Raw data" xfId="1939" xr:uid="{00000000-0005-0000-0000-000092070000}"/>
    <cellStyle name="_Daily Variance Report on 24012011-_YC_8 F Raw data_After 5's" xfId="1940" xr:uid="{00000000-0005-0000-0000-000093070000}"/>
    <cellStyle name="_Daily Variance Report on 24012011-_YC_8 F Raw data_Base Line Data YC-8(C)" xfId="1941" xr:uid="{00000000-0005-0000-0000-000094070000}"/>
    <cellStyle name="_Daily Variance Report on 24012011-_YC_8 F Raw data_Base line Data-YC-15(G)" xfId="1942" xr:uid="{00000000-0005-0000-0000-000095070000}"/>
    <cellStyle name="_Daily Variance Report on 24012011-_YC_8 F Raw data_Book1" xfId="1943" xr:uid="{00000000-0005-0000-0000-000096070000}"/>
    <cellStyle name="_Daily Variance Report on 24012011-_YC_8 F Raw data_Copy of SK Raw data of SKB in Yc-6-(C) 26~31Jan '20131" xfId="1944" xr:uid="{00000000-0005-0000-0000-000097070000}"/>
    <cellStyle name="_Daily Variance Report on 24012011-_YC_8 F Raw data_Flow Chart YC-8(C) Before1" xfId="1945" xr:uid="{00000000-0005-0000-0000-000098070000}"/>
    <cellStyle name="_Daily Variance Report on 24012011-_YC_8 F Raw data_MFC(Yc 10C)" xfId="1946" xr:uid="{00000000-0005-0000-0000-000099070000}"/>
    <cellStyle name="_Daily Variance Report on 24012011-_YC_8 F Raw data_OCT Graph A1" xfId="1947" xr:uid="{00000000-0005-0000-0000-00009A070000}"/>
    <cellStyle name="_Daily Variance Report on 24012011-_YC_8 F Raw data_peroto Chart YC-8" xfId="1948" xr:uid="{00000000-0005-0000-0000-00009B070000}"/>
    <cellStyle name="_Daily Variance Report on 24012011-_YC_8 F Raw data_SK Raw data of SKB in Yc-8-(J) 01~05 Dec'2012" xfId="1949" xr:uid="{00000000-0005-0000-0000-00009C070000}"/>
    <cellStyle name="_Daily Variance Report on 24012011-_YC_8 F Raw data_SK Raw data of SKB in Yc-8-(J) 01~05 Dec'2012_Base line Data-YC-15(G)" xfId="1950" xr:uid="{00000000-0005-0000-0000-00009D070000}"/>
    <cellStyle name="_Daily Variance Report on 24012011-_YC_8 F Raw data_SK Raw data of SKB in Yc-8-(J) 01~05 Dec'2012_Book1" xfId="1951" xr:uid="{00000000-0005-0000-0000-00009E070000}"/>
    <cellStyle name="_Daily Variance Report on 24012011-_YC_8 F Raw data_SK Raw data of SKB in Yc-8-(J) 01~05 Dec'2012_Style Changeover Data Information-" xfId="1952" xr:uid="{00000000-0005-0000-0000-00009F070000}"/>
    <cellStyle name="_Daily Variance Report on 24012011-_YC_8 F Raw data_SK Raw data of SKB in Yc-8-(J) 01~05 Dec'2012_Style Changeover Data Information-YCL13C" xfId="1953" xr:uid="{00000000-0005-0000-0000-0000A0070000}"/>
    <cellStyle name="_Daily Variance Report on 24012011-_YC_8 F Raw data_SKB RAW DATA" xfId="1954" xr:uid="{00000000-0005-0000-0000-0000A1070000}"/>
    <cellStyle name="_Daily Variance Report on 24012011-_YC_8 F Raw data_SKB YC-8(J)" xfId="1955" xr:uid="{00000000-0005-0000-0000-0000A2070000}"/>
    <cellStyle name="_Daily Variance Report on 24012011-_YC_8 F Raw data_SKB(Sewing Kaizen - YCL 14 (A)" xfId="1956" xr:uid="{00000000-0005-0000-0000-0000A3070000}"/>
    <cellStyle name="_Daily Variance Report on 24012011-_YC_8 F Raw data_SQDC Board format (revised)-2013" xfId="1957" xr:uid="{00000000-0005-0000-0000-0000A4070000}"/>
    <cellStyle name="_Daily Variance Report on 24012011-_YC_8 F Raw data_Style Change Over YC-6 E 23~227 Mar, 2013" xfId="1958" xr:uid="{00000000-0005-0000-0000-0000A5070000}"/>
    <cellStyle name="_Daily Variance Report on 24012011-_YC_8 F Raw data_Style Change Over YC-7H  16~21 Aprl, 2013" xfId="1959" xr:uid="{00000000-0005-0000-0000-0000A6070000}"/>
    <cellStyle name="_Daily Variance Report on 24012011-_YC_8 F Raw data_Style Changeover Data Information-" xfId="1960" xr:uid="{00000000-0005-0000-0000-0000A7070000}"/>
    <cellStyle name="_Daily Variance Report on 24012011-_YC_8 F Raw data_Xl0000034" xfId="1961" xr:uid="{00000000-0005-0000-0000-0000A8070000}"/>
    <cellStyle name="_Daily Variance Report on 24012011-_YC-8 (I+G2) Raw data" xfId="1962" xr:uid="{00000000-0005-0000-0000-0000A9070000}"/>
    <cellStyle name="_Daily Variance Report on 24012011-_Yc-9E" xfId="1963" xr:uid="{00000000-0005-0000-0000-0000AA070000}"/>
    <cellStyle name="_Daily Variance Report on 24012011-_Yc-9E_Style Change Over YC-7H  16~21 Aprl, 2013" xfId="1964" xr:uid="{00000000-0005-0000-0000-0000AB070000}"/>
    <cellStyle name="_Daily Variance Report on 24012011-_Yc-9E_Style Change Over YC-7H  16~21 Aprl, 2013_Base line Data-YC-15(G)" xfId="1965" xr:uid="{00000000-0005-0000-0000-0000AC070000}"/>
    <cellStyle name="_Daily Variance Report on 24012011-_Yc-9E_Style Change Over YC-7H  16~21 Aprl, 2013_Book1" xfId="1966" xr:uid="{00000000-0005-0000-0000-0000AD070000}"/>
    <cellStyle name="_Daily Variance Report on 24012011-_Yc-9E_Style Change Over YC-7H  16~21 Aprl, 2013_Style Changeover Data Information-" xfId="1967" xr:uid="{00000000-0005-0000-0000-0000AE070000}"/>
    <cellStyle name="_Daily Variance Report on 24012011-_Yc-9E_Style Change Over YC-7H  16~21 Aprl, 2013_Style Changeover Data Information-YCL13C" xfId="1968" xr:uid="{00000000-0005-0000-0000-0000AF070000}"/>
    <cellStyle name="_Daily Variance Report on 24012011-_Yc-9E_Style Change Over YC-9 (I)  28~02 May, 2013" xfId="1969" xr:uid="{00000000-0005-0000-0000-0000B0070000}"/>
    <cellStyle name="_Daily Variance Report on 24012011-_Yc-9E_Style Change Over YC-9 (I)  28~02 May, 2013_Base line Data-YC-15(G)" xfId="1970" xr:uid="{00000000-0005-0000-0000-0000B1070000}"/>
    <cellStyle name="_Daily Variance Report on 24012011-_Yc-9E_Style Change Over YC-9 (I)  28~02 May, 2013_Book1" xfId="1971" xr:uid="{00000000-0005-0000-0000-0000B2070000}"/>
    <cellStyle name="_Daily Variance Report on 24012011-_Yc-9E_Style Change Over YC-9 (I)  28~02 May, 2013_Style Changeover Data Information-" xfId="1972" xr:uid="{00000000-0005-0000-0000-0000B3070000}"/>
    <cellStyle name="_Daily Variance Report on 24012011-_Yc-9E_Style Change Over YC-9 (I)  28~02 May, 2013_Style Changeover Data Information-YCL13C" xfId="1973" xr:uid="{00000000-0005-0000-0000-0000B4070000}"/>
    <cellStyle name="_Daily Variance Report on 24012011-_Yc-9E1" xfId="1974" xr:uid="{00000000-0005-0000-0000-0000B5070000}"/>
    <cellStyle name="_Daily Variance Report on 24012011-_Yc-9E1_Style Change Over YC-7H  16~21 Aprl, 2013" xfId="1975" xr:uid="{00000000-0005-0000-0000-0000B6070000}"/>
    <cellStyle name="_Daily Variance Report on 24012011-_Yc-9E1_Style Change Over YC-7H  16~21 Aprl, 2013_Base line Data-YC-15(G)" xfId="1976" xr:uid="{00000000-0005-0000-0000-0000B7070000}"/>
    <cellStyle name="_Daily Variance Report on 24012011-_Yc-9E1_Style Change Over YC-7H  16~21 Aprl, 2013_Book1" xfId="1977" xr:uid="{00000000-0005-0000-0000-0000B8070000}"/>
    <cellStyle name="_Daily Variance Report on 24012011-_Yc-9E1_Style Change Over YC-7H  16~21 Aprl, 2013_Style Changeover Data Information-" xfId="1978" xr:uid="{00000000-0005-0000-0000-0000B9070000}"/>
    <cellStyle name="_Daily Variance Report on 24012011-_Yc-9E1_Style Change Over YC-7H  16~21 Aprl, 2013_Style Changeover Data Information-YCL13C" xfId="1979" xr:uid="{00000000-0005-0000-0000-0000BA070000}"/>
    <cellStyle name="_Daily Variance Report on 24012011-_Yc-9E1_Style Change Over YC-9 (I)  28~02 May, 2013" xfId="1980" xr:uid="{00000000-0005-0000-0000-0000BB070000}"/>
    <cellStyle name="_Daily Variance Report on 24012011-_Yc-9E1_Style Change Over YC-9 (I)  28~02 May, 2013_Base line Data-YC-15(G)" xfId="1981" xr:uid="{00000000-0005-0000-0000-0000BC070000}"/>
    <cellStyle name="_Daily Variance Report on 24012011-_Yc-9E1_Style Change Over YC-9 (I)  28~02 May, 2013_Book1" xfId="1982" xr:uid="{00000000-0005-0000-0000-0000BD070000}"/>
    <cellStyle name="_Daily Variance Report on 24012011-_Yc-9E1_Style Change Over YC-9 (I)  28~02 May, 2013_Style Changeover Data Information-" xfId="1983" xr:uid="{00000000-0005-0000-0000-0000BE070000}"/>
    <cellStyle name="_Daily Variance Report on 24012011-_Yc-9E1_Style Change Over YC-9 (I)  28~02 May, 2013_Style Changeover Data Information-YCL13C" xfId="1984" xr:uid="{00000000-0005-0000-0000-0000BF070000}"/>
    <cellStyle name="_Daily Variance Report on 24012011-_YCL - 8 (H) ~ Changeover -Raw data(16 Feb~22 Feb,12)" xfId="1985" xr:uid="{00000000-0005-0000-0000-0000C0070000}"/>
    <cellStyle name="_Daily Variance Report on 24012011-_YCL- 8 E+MOD~ Changeover -Raw data(3rd April to 7th April )" xfId="1986" xr:uid="{00000000-0005-0000-0000-0000C1070000}"/>
    <cellStyle name="_Daily Variance Report on 24012011-_YCL2012_003I_SKB Presentation_YCL 8-I+G2(Changeover)_24~29 Aprl,2012 (version 1)" xfId="1987" xr:uid="{00000000-0005-0000-0000-0000C2070000}"/>
    <cellStyle name="_Daily Variance Report on 24012011-_YCL2012-010I-SKB Presentation_YCL 8(H+G1_Changeover_12~18 April, 2012" xfId="1988" xr:uid="{00000000-0005-0000-0000-0000C3070000}"/>
    <cellStyle name="_Daily Variance Report on 24012011-_YCL2012-010I-SKB Presentation_YCL 8(H+G1_Changeover_12~18 April, 2012_Base Line Data YC-8(C)" xfId="1989" xr:uid="{00000000-0005-0000-0000-0000C4070000}"/>
    <cellStyle name="_Daily Variance Report on 24012011-_YCL2012-010I-SKB Presentation_YCL 8(H+G1_Changeover_12~18 April, 2012_Base line Data-YC-15(G)" xfId="1990" xr:uid="{00000000-0005-0000-0000-0000C5070000}"/>
    <cellStyle name="_Daily Variance Report on 24012011-_YCL2012-010I-SKB Presentation_YCL 8(H+G1_Changeover_12~18 April, 2012_Book1" xfId="1991" xr:uid="{00000000-0005-0000-0000-0000C6070000}"/>
    <cellStyle name="_Daily Variance Report on 24012011-_YCL2012-010I-SKB Presentation_YCL 8(H+G1_Changeover_12~18 April, 2012_Copy of SK Raw data of SKB in Yc-6-(C) 26~31Jan '20131" xfId="1992" xr:uid="{00000000-0005-0000-0000-0000C7070000}"/>
    <cellStyle name="_Daily Variance Report on 24012011-_YCL2012-010I-SKB Presentation_YCL 8(H+G1_Changeover_12~18 April, 2012_Flow Chart YC-8(C) Before1" xfId="1993" xr:uid="{00000000-0005-0000-0000-0000C8070000}"/>
    <cellStyle name="_Daily Variance Report on 24012011-_YCL2012-010I-SKB Presentation_YCL 8(H+G1_Changeover_12~18 April, 2012_OCT Graph A1" xfId="1994" xr:uid="{00000000-0005-0000-0000-0000C9070000}"/>
    <cellStyle name="_Daily Variance Report on 24012011-_YCL2012-010I-SKB Presentation_YCL 8(H+G1_Changeover_12~18 April, 2012_SK Raw data of SKB in Yc-8-(J) 01~05 Dec'2012" xfId="1995" xr:uid="{00000000-0005-0000-0000-0000CA070000}"/>
    <cellStyle name="_Daily Variance Report on 24012011-_YCL2012-010I-SKB Presentation_YCL 8(H+G1_Changeover_12~18 April, 2012_SK Raw data of SKB in Yc-8-(J) 01~05 Dec'2012_Base line Data-YC-15(G)" xfId="1996" xr:uid="{00000000-0005-0000-0000-0000CB070000}"/>
    <cellStyle name="_Daily Variance Report on 24012011-_YCL2012-010I-SKB Presentation_YCL 8(H+G1_Changeover_12~18 April, 2012_SK Raw data of SKB in Yc-8-(J) 01~05 Dec'2012_Book1" xfId="1997" xr:uid="{00000000-0005-0000-0000-0000CC070000}"/>
    <cellStyle name="_Daily Variance Report on 24012011-_YCL2012-010I-SKB Presentation_YCL 8(H+G1_Changeover_12~18 April, 2012_SK Raw data of SKB in Yc-8-(J) 01~05 Dec'2012_Style Changeover Data Information-" xfId="1998" xr:uid="{00000000-0005-0000-0000-0000CD070000}"/>
    <cellStyle name="_Daily Variance Report on 24012011-_YCL2012-010I-SKB Presentation_YCL 8(H+G1_Changeover_12~18 April, 2012_SK Raw data of SKB in Yc-8-(J) 01~05 Dec'2012_Style Changeover Data Information-YCL13C" xfId="1999" xr:uid="{00000000-0005-0000-0000-0000CE070000}"/>
    <cellStyle name="_Daily Variance Report on 24012011-_YCL2012-010I-SKB Presentation_YCL 8(H+G1_Changeover_12~18 April, 2012_SKB RAW DATA" xfId="2000" xr:uid="{00000000-0005-0000-0000-0000CF070000}"/>
    <cellStyle name="_Daily Variance Report on 24012011-_YCL2012-010I-SKB Presentation_YCL 8(H+G1_Changeover_12~18 April, 2012_SKB YC-8(J)" xfId="2001" xr:uid="{00000000-0005-0000-0000-0000D0070000}"/>
    <cellStyle name="_Daily Variance Report on 24012011-_YCL2012-010I-SKB Presentation_YCL 8(H+G1_Changeover_12~18 April, 2012_SKB(Sewing Kaizen - YCL 14 (A)" xfId="2002" xr:uid="{00000000-0005-0000-0000-0000D1070000}"/>
    <cellStyle name="_Daily Variance Report on 24012011-_YCL2012-010I-SKB Presentation_YCL 8(H+G1_Changeover_12~18 April, 2012_SQDC Board format (revised)-2013" xfId="2003" xr:uid="{00000000-0005-0000-0000-0000D2070000}"/>
    <cellStyle name="_Daily Variance Report on 24012011-_YCL2012-010I-SKB Presentation_YCL 8(H+G1_Changeover_12~18 April, 2012_Style Changeover Data Information-" xfId="2004" xr:uid="{00000000-0005-0000-0000-0000D3070000}"/>
    <cellStyle name="_Daily Variance Report on 24012011-_YCL2012-010I-SKB Presentation_YCL 8(H+G1_Changeover_12~18 April, 2012_Xl0000034" xfId="2005" xr:uid="{00000000-0005-0000-0000-0000D4070000}"/>
    <cellStyle name="_Daily Variance Report on 24012011-_Ycl-6C" xfId="2006" xr:uid="{00000000-0005-0000-0000-0000D5070000}"/>
    <cellStyle name="_Daily Variance Report on 24012011-_Ycl-7H" xfId="2007" xr:uid="{00000000-0005-0000-0000-0000D6070000}"/>
    <cellStyle name="_Daily Variance Report on 24012011-_Ycl-7H_Base line Data-YC-15(G)" xfId="2008" xr:uid="{00000000-0005-0000-0000-0000D7070000}"/>
    <cellStyle name="_Daily Variance Report on 24012011-_Ycl-7H_Book1" xfId="2009" xr:uid="{00000000-0005-0000-0000-0000D8070000}"/>
    <cellStyle name="_Daily Variance Report on 24012011-_Ycl-7H_Style Changeover Data Information-" xfId="2010" xr:uid="{00000000-0005-0000-0000-0000D9070000}"/>
    <cellStyle name="_Daily Variance Report on 24012011-_Ycl-7H_Style Changeover Data Information-YCL13C" xfId="2011" xr:uid="{00000000-0005-0000-0000-0000DA070000}"/>
    <cellStyle name="_Eff%" xfId="2012" xr:uid="{00000000-0005-0000-0000-0000DB070000}"/>
    <cellStyle name="_Eff%_27- JULY- 01 AUG" xfId="2013" xr:uid="{00000000-0005-0000-0000-0000DC070000}"/>
    <cellStyle name="_Eff%_April'01-04-2013" xfId="2014" xr:uid="{00000000-0005-0000-0000-0000DD070000}"/>
    <cellStyle name="_Eff%_aPRIL-29-02 mAY" xfId="2015" xr:uid="{00000000-0005-0000-0000-0000DE070000}"/>
    <cellStyle name="_Eff%_August '01-08-2013" xfId="2016" xr:uid="{00000000-0005-0000-0000-0000DF070000}"/>
    <cellStyle name="_Eff%_BD All Fac Weekly Eff% Status (11th Aug to 17th Aug) ' 12" xfId="2017" xr:uid="{00000000-0005-0000-0000-0000E0070000}"/>
    <cellStyle name="_Eff%_BD All Fac Weekly Eff% Status (14th July to 20th July) ' 12" xfId="2018" xr:uid="{00000000-0005-0000-0000-0000E1070000}"/>
    <cellStyle name="_Eff%_BD All Fac Weekly Eff% Status (22nd Sep to 28th Sep) ' 12" xfId="2019" xr:uid="{00000000-0005-0000-0000-0000E2070000}"/>
    <cellStyle name="_Eff%_BD All Fac Weekly Eff% Status (2nd June to 8th June) ' 12" xfId="2020" xr:uid="{00000000-0005-0000-0000-0000E3070000}"/>
    <cellStyle name="_Eff%_BD All Fac Weekly Eff% Status (30th Mar -5th Apr) ' 13" xfId="2021" xr:uid="{00000000-0005-0000-0000-0000E4070000}"/>
    <cellStyle name="_Eff%_BD All Fac Weekly Eff% Status (3rd Nov to 9th Nov) ' 12" xfId="2022" xr:uid="{00000000-0005-0000-0000-0000E5070000}"/>
    <cellStyle name="_Eff%_BD All Fac Weekly Eff% Status (6th Oct to 12th Oct) ' 12" xfId="2023" xr:uid="{00000000-0005-0000-0000-0000E6070000}"/>
    <cellStyle name="_Eff%_December'01-12-201213 Anima" xfId="2024" xr:uid="{00000000-0005-0000-0000-0000E7070000}"/>
    <cellStyle name="_Eff%_February'01-02-2013" xfId="2025" xr:uid="{00000000-0005-0000-0000-0000E8070000}"/>
    <cellStyle name="_Eff%_January'01-01-2013" xfId="2026" xr:uid="{00000000-0005-0000-0000-0000E9070000}"/>
    <cellStyle name="_Eff%_JULY '01-07-2013" xfId="2027" xr:uid="{00000000-0005-0000-0000-0000EA070000}"/>
    <cellStyle name="_Eff%_JUNE '01-06-2013" xfId="2028" xr:uid="{00000000-0005-0000-0000-0000EB070000}"/>
    <cellStyle name="_Eff%_JUNE '29-04 JULY" xfId="2029" xr:uid="{00000000-0005-0000-0000-0000EC070000}"/>
    <cellStyle name="_Eff%_March'" xfId="2030" xr:uid="{00000000-0005-0000-0000-0000ED070000}"/>
    <cellStyle name="_Eff%_March'01-02-2013" xfId="2031" xr:uid="{00000000-0005-0000-0000-0000EE070000}"/>
    <cellStyle name="_Eff%_May '01-05-2013" xfId="2032" xr:uid="{00000000-0005-0000-0000-0000EF070000}"/>
    <cellStyle name="_Eff%_New Format December-2012" xfId="2033" xr:uid="{00000000-0005-0000-0000-0000F0070000}"/>
    <cellStyle name="_Eff%_New Format Feb-2013" xfId="2034" xr:uid="{00000000-0005-0000-0000-0000F1070000}"/>
    <cellStyle name="_Eff%_New Format February-2013" xfId="2035" xr:uid="{00000000-0005-0000-0000-0000F2070000}"/>
    <cellStyle name="_Eff%_New Format November-2012" xfId="2036" xr:uid="{00000000-0005-0000-0000-0000F3070000}"/>
    <cellStyle name="_Eff%_October '01-10-2013" xfId="2037" xr:uid="{00000000-0005-0000-0000-0000F4070000}"/>
    <cellStyle name="_Eff%_Sep-oct" xfId="2038" xr:uid="{00000000-0005-0000-0000-0000F5070000}"/>
    <cellStyle name="_Eff%_September '01-09-2013" xfId="2039" xr:uid="{00000000-0005-0000-0000-0000F6070000}"/>
    <cellStyle name="_Eff%_Weekly prdn" xfId="2040" xr:uid="{00000000-0005-0000-0000-0000F7070000}"/>
    <cellStyle name="_Eff%_Weekly Status" xfId="2041" xr:uid="{00000000-0005-0000-0000-0000F8070000}"/>
    <cellStyle name="_Eff%_Ysl Weekly Status-201228" xfId="2042" xr:uid="{00000000-0005-0000-0000-0000F9070000}"/>
    <cellStyle name="_Eff%_Ysl Weekly Status-201229" xfId="2043" xr:uid="{00000000-0005-0000-0000-0000FA070000}"/>
    <cellStyle name="_Eff%_Ysl Weekly Status-201230" xfId="2044" xr:uid="{00000000-0005-0000-0000-0000FB070000}"/>
    <cellStyle name="_Eff%_Ysl Weekly Status-201231" xfId="2045" xr:uid="{00000000-0005-0000-0000-0000FC070000}"/>
    <cellStyle name="_Eff%_Ysl Weekly Status-201233" xfId="2046" xr:uid="{00000000-0005-0000-0000-0000FD070000}"/>
    <cellStyle name="_Eff%_Ysl Weekly Status-201234" xfId="2047" xr:uid="{00000000-0005-0000-0000-0000FE070000}"/>
    <cellStyle name="_Eff%_Ysl Weekly Status-201235" xfId="2048" xr:uid="{00000000-0005-0000-0000-0000FF070000}"/>
    <cellStyle name="_Eff%_Ysl Weekly Status-201236" xfId="2049" xr:uid="{00000000-0005-0000-0000-000000080000}"/>
    <cellStyle name="_Eff%_Ysl Weekly Status-201237" xfId="2050" xr:uid="{00000000-0005-0000-0000-000001080000}"/>
    <cellStyle name="_Eff%_Ysl Weekly Status-201238" xfId="2051" xr:uid="{00000000-0005-0000-0000-000002080000}"/>
    <cellStyle name="_Eff%_Ysl Weekly Status-201239" xfId="2052" xr:uid="{00000000-0005-0000-0000-000003080000}"/>
    <cellStyle name="_Eff%_Ysl Weekly Status-201240" xfId="2053" xr:uid="{00000000-0005-0000-0000-000004080000}"/>
    <cellStyle name="_Eff%_Ysl Weekly Status-201241" xfId="2054" xr:uid="{00000000-0005-0000-0000-000005080000}"/>
    <cellStyle name="_Eff%_Ysl Weekly Status-2013" xfId="2055" xr:uid="{00000000-0005-0000-0000-000006080000}"/>
    <cellStyle name="_Eff%_Ysl Weekly Status-20131" xfId="2056" xr:uid="{00000000-0005-0000-0000-000007080000}"/>
    <cellStyle name="_Eff%_Ysl Weekly Status-20132" xfId="2057" xr:uid="{00000000-0005-0000-0000-000008080000}"/>
    <cellStyle name="_Eff%_Ysl Weekly Status-20133" xfId="2058" xr:uid="{00000000-0005-0000-0000-000009080000}"/>
    <cellStyle name="_Eff%_Ysl Weekly Status-20134" xfId="2059" xr:uid="{00000000-0005-0000-0000-00000A080000}"/>
    <cellStyle name="_ET_STYLE_NoName_00_" xfId="2060" xr:uid="{00000000-0005-0000-0000-00000B080000}"/>
    <cellStyle name="_ET_STYLE_NoName_00__AZLT TSL-02 (C+D1) (MANIK)" xfId="2061" xr:uid="{00000000-0005-0000-0000-00000C080000}"/>
    <cellStyle name="_ET_STYLE_NoName_00__AZLT TSL-02 (C+D1) (MANIK)_SASS1300078" xfId="2062" xr:uid="{00000000-0005-0000-0000-00000D080000}"/>
    <cellStyle name="_ET_STYLE_NoName_00__AZLT TSL-02 (C+D1) (MANIK)_Style Change Over YC-7H  16~21 Aprl, 2013" xfId="2063" xr:uid="{00000000-0005-0000-0000-00000E080000}"/>
    <cellStyle name="_ET_STYLE_NoName_00__AZLT TSL-02 (C+D1) (MANIK)_Style Change Over YC-7H  16~21 Aprl, 2013_Base line Data-YC-15(G)" xfId="2064" xr:uid="{00000000-0005-0000-0000-00000F080000}"/>
    <cellStyle name="_ET_STYLE_NoName_00__AZLT TSL-02 (C+D1) (MANIK)_Style Change Over YC-7H  16~21 Aprl, 2013_Book1" xfId="2065" xr:uid="{00000000-0005-0000-0000-000010080000}"/>
    <cellStyle name="_ET_STYLE_NoName_00__AZLT TSL-02 (C+D1) (MANIK)_Style Change Over YC-7H  16~21 Aprl, 2013_MDT" xfId="2066" xr:uid="{00000000-0005-0000-0000-000011080000}"/>
    <cellStyle name="_ET_STYLE_NoName_00__AZLT TSL-02 (C+D1) (MANIK)_Style Change Over YC-7H  16~21 Aprl, 2013_SK Raw data of SKB in Yc-18-(B1) 24~08 to 28-08,'2013 (version 1)1" xfId="2067" xr:uid="{00000000-0005-0000-0000-000012080000}"/>
    <cellStyle name="_ET_STYLE_NoName_00__AZLT TSL-02 (C+D1) (MANIK)_Style Change Over YC-7H  16~21 Aprl, 2013_Style Changeover Data Information-" xfId="2068" xr:uid="{00000000-0005-0000-0000-000013080000}"/>
    <cellStyle name="_ET_STYLE_NoName_00__AZLT TSL-02 (C+D1) (MANIK)_Style Change Over YC-7H  16~21 Aprl, 2013_Style Changeover Data Information-YCL13C" xfId="2069" xr:uid="{00000000-0005-0000-0000-000014080000}"/>
    <cellStyle name="_ET_STYLE_NoName_00__AZLT TSL-02 (C+D1) (MANIK)_Style Change Over YC-9 (I)  28~02 May, 2013" xfId="2070" xr:uid="{00000000-0005-0000-0000-000015080000}"/>
    <cellStyle name="_ET_STYLE_NoName_00__AZLT TSL-02 (C+D1) (MANIK)_Style Change Over YC-9 (I)  28~02 May, 2013_Base line Data-YC-15(G)" xfId="2071" xr:uid="{00000000-0005-0000-0000-000016080000}"/>
    <cellStyle name="_ET_STYLE_NoName_00__AZLT TSL-02 (C+D1) (MANIK)_Style Change Over YC-9 (I)  28~02 May, 2013_Book1" xfId="2072" xr:uid="{00000000-0005-0000-0000-000017080000}"/>
    <cellStyle name="_ET_STYLE_NoName_00__AZLT TSL-02 (C+D1) (MANIK)_Style Change Over YC-9 (I)  28~02 May, 2013_MDT" xfId="2073" xr:uid="{00000000-0005-0000-0000-000018080000}"/>
    <cellStyle name="_ET_STYLE_NoName_00__AZLT TSL-02 (C+D1) (MANIK)_Style Change Over YC-9 (I)  28~02 May, 2013_SK Raw data of SKB in Yc-18-(B1) 24~08 to 28-08,'2013 (version 1)1" xfId="2074" xr:uid="{00000000-0005-0000-0000-000019080000}"/>
    <cellStyle name="_ET_STYLE_NoName_00__AZLT TSL-02 (C+D1) (MANIK)_Style Change Over YC-9 (I)  28~02 May, 2013_Style Changeover Data Information-" xfId="2075" xr:uid="{00000000-0005-0000-0000-00001A080000}"/>
    <cellStyle name="_ET_STYLE_NoName_00__AZLT TSL-02 (C+D1) (MANIK)_Style Change Over YC-9 (I)  28~02 May, 2013_Style Changeover Data Information-YCL13C" xfId="2076" xr:uid="{00000000-0005-0000-0000-00001B080000}"/>
    <cellStyle name="_ET_STYLE_NoName_00__AZLT TSL-02 (C+D1) (MANIK)_Style Changeover Data Information-YCL 9 (I)" xfId="2077" xr:uid="{00000000-0005-0000-0000-00001C080000}"/>
    <cellStyle name="_ET_STYLE_NoName_00__AZLT TSL-02 (C+D1) (MANIK)_Style Changeover Data Information-YCL13C" xfId="2078" xr:uid="{00000000-0005-0000-0000-00001D080000}"/>
    <cellStyle name="_ET_STYLE_NoName_00__Base Line Data YC-8(C)" xfId="2079" xr:uid="{00000000-0005-0000-0000-00001E080000}"/>
    <cellStyle name="_ET_STYLE_NoName_00__Base line Data-YC-15(G)" xfId="2080" xr:uid="{00000000-0005-0000-0000-00001F080000}"/>
    <cellStyle name="_ET_STYLE_NoName_00__Book1" xfId="2081" xr:uid="{00000000-0005-0000-0000-000020080000}"/>
    <cellStyle name="_ET_STYLE_NoName_00__Changeover" xfId="2082" xr:uid="{00000000-0005-0000-0000-000021080000}"/>
    <cellStyle name="_ET_STYLE_NoName_00__Changeover Format 14th November 2012" xfId="2083" xr:uid="{00000000-0005-0000-0000-000022080000}"/>
    <cellStyle name="_ET_STYLE_NoName_00__Changeover summary 2012" xfId="2084" xr:uid="{00000000-0005-0000-0000-000023080000}"/>
    <cellStyle name="_ET_STYLE_NoName_00__Changeover Summary'12" xfId="2085" xr:uid="{00000000-0005-0000-0000-000024080000}"/>
    <cellStyle name="_ET_STYLE_NoName_00__Copy of SASS1300133" xfId="2086" xr:uid="{00000000-0005-0000-0000-000025080000}"/>
    <cellStyle name="_ET_STYLE_NoName_00__Layout Format Updated 31st Jan 20122" xfId="2087" xr:uid="{00000000-0005-0000-0000-000026080000}"/>
    <cellStyle name="_ET_STYLE_NoName_00__Layout Format Updated 31st Jan 20123 - Copy" xfId="2088" xr:uid="{00000000-0005-0000-0000-000027080000}"/>
    <cellStyle name="_ET_STYLE_NoName_00__MDT" xfId="2089" xr:uid="{00000000-0005-0000-0000-000028080000}"/>
    <cellStyle name="_ET_STYLE_NoName_00__SASS1300078" xfId="2090" xr:uid="{00000000-0005-0000-0000-000029080000}"/>
    <cellStyle name="_ET_STYLE_NoName_00__Sc11 Ks-4 A" xfId="2091" xr:uid="{00000000-0005-0000-0000-00002A080000}"/>
    <cellStyle name="_ET_STYLE_NoName_00__SK Raw data of SKB in Yc-18-(B1) 24~08 to 28-08,'2013 (version 1)1" xfId="2092" xr:uid="{00000000-0005-0000-0000-00002B080000}"/>
    <cellStyle name="_ET_STYLE_NoName_00__SK Raw data of SKB in Yc-8-(J) 01~05 Dec'2012" xfId="2093" xr:uid="{00000000-0005-0000-0000-00002C080000}"/>
    <cellStyle name="_ET_STYLE_NoName_00__SK Raw data of SKB in Yc-8-(J) 01~05 Dec'2012_Base line Data-YC-15(G)" xfId="2094" xr:uid="{00000000-0005-0000-0000-00002D080000}"/>
    <cellStyle name="_ET_STYLE_NoName_00__SK Raw data of SKB in Yc-8-(J) 01~05 Dec'2012_Book1" xfId="2095" xr:uid="{00000000-0005-0000-0000-00002E080000}"/>
    <cellStyle name="_ET_STYLE_NoName_00__SK Raw data of SKB in Yc-8-(J) 01~05 Dec'2012_SK Raw data of SKB in Yc-18-(B1) 24~08 to 28-08,'2013 (version 1)1" xfId="2096" xr:uid="{00000000-0005-0000-0000-00002F080000}"/>
    <cellStyle name="_ET_STYLE_NoName_00__SK Raw data of SKB in Yc-8-(J) 01~05 Dec'2012_Style Changeover Data Information-" xfId="2097" xr:uid="{00000000-0005-0000-0000-000030080000}"/>
    <cellStyle name="_ET_STYLE_NoName_00__SK Raw data of SKB in Yc-8-(J) 01~05 Dec'2012_Style Changeover Data Information-YCL13C" xfId="2098" xr:uid="{00000000-0005-0000-0000-000031080000}"/>
    <cellStyle name="_ET_STYLE_NoName_00__SKB(Sewing Kaizen - YCL 14 (A)" xfId="2099" xr:uid="{00000000-0005-0000-0000-000032080000}"/>
    <cellStyle name="_ET_STYLE_NoName_00__SQDC Board format (revised)-2013" xfId="2100" xr:uid="{00000000-0005-0000-0000-000033080000}"/>
    <cellStyle name="_ET_STYLE_NoName_00__Style Change Over YC-7H  16~21 Aprl, 2013" xfId="2101" xr:uid="{00000000-0005-0000-0000-000034080000}"/>
    <cellStyle name="_ET_STYLE_NoName_00__Style Change Over YC-7H  16~21 Aprl, 2013_Base line Data-YC-15(G)" xfId="2102" xr:uid="{00000000-0005-0000-0000-000035080000}"/>
    <cellStyle name="_ET_STYLE_NoName_00__Style Change Over YC-7H  16~21 Aprl, 2013_Book1" xfId="2103" xr:uid="{00000000-0005-0000-0000-000036080000}"/>
    <cellStyle name="_ET_STYLE_NoName_00__Style Change Over YC-7H  16~21 Aprl, 2013_SK Raw data of SKB in Yc-18-(B1) 24~08 to 28-08,'2013 (version 1)1" xfId="2104" xr:uid="{00000000-0005-0000-0000-000037080000}"/>
    <cellStyle name="_ET_STYLE_NoName_00__Style Change Over YC-7H  16~21 Aprl, 2013_Style Changeover Data Information-" xfId="2105" xr:uid="{00000000-0005-0000-0000-000038080000}"/>
    <cellStyle name="_ET_STYLE_NoName_00__Style Change Over YC-7H  16~21 Aprl, 2013_Style Changeover Data Information-YCL13C" xfId="2106" xr:uid="{00000000-0005-0000-0000-000039080000}"/>
    <cellStyle name="_ET_STYLE_NoName_00__Style Change Over YC-9 (I)  28~02 May, 2013" xfId="2107" xr:uid="{00000000-0005-0000-0000-00003A080000}"/>
    <cellStyle name="_ET_STYLE_NoName_00__Style Change Over YC-9 (I)  28~02 May, 2013_Base line Data-YC-15(G)" xfId="2108" xr:uid="{00000000-0005-0000-0000-00003B080000}"/>
    <cellStyle name="_ET_STYLE_NoName_00__Style Change Over YC-9 (I)  28~02 May, 2013_Book1" xfId="2109" xr:uid="{00000000-0005-0000-0000-00003C080000}"/>
    <cellStyle name="_ET_STYLE_NoName_00__Style Change Over YC-9 (I)  28~02 May, 2013_SK Raw data of SKB in Yc-18-(B1) 24~08 to 28-08,'2013 (version 1)1" xfId="2110" xr:uid="{00000000-0005-0000-0000-00003D080000}"/>
    <cellStyle name="_ET_STYLE_NoName_00__Style Change Over YC-9 (I)  28~02 May, 2013_Style Changeover Data Information-" xfId="2111" xr:uid="{00000000-0005-0000-0000-00003E080000}"/>
    <cellStyle name="_ET_STYLE_NoName_00__Style Change Over YC-9 (I)  28~02 May, 2013_Style Changeover Data Information-YCL13C" xfId="2112" xr:uid="{00000000-0005-0000-0000-00003F080000}"/>
    <cellStyle name="_ET_STYLE_NoName_00__Style Changeover Data Information-" xfId="2113" xr:uid="{00000000-0005-0000-0000-000040080000}"/>
    <cellStyle name="_ET_STYLE_NoName_00__Style Changeover Data Information-YCL 9 (I)" xfId="2114" xr:uid="{00000000-0005-0000-0000-000041080000}"/>
    <cellStyle name="_ET_STYLE_NoName_00__Style Changeover Data Information-YCL13C" xfId="2115" xr:uid="{00000000-0005-0000-0000-000042080000}"/>
    <cellStyle name="_ET_STYLE_NoName_00__Xl0000004" xfId="2116" xr:uid="{00000000-0005-0000-0000-000043080000}"/>
    <cellStyle name="_ET_STYLE_NoName_00__Xl0000007" xfId="2117" xr:uid="{00000000-0005-0000-0000-000044080000}"/>
    <cellStyle name="_Flow Chart - 8(I+G2)" xfId="2118" xr:uid="{00000000-0005-0000-0000-000045080000}"/>
    <cellStyle name="_Flow Ycl-J" xfId="2119" xr:uid="{00000000-0005-0000-0000-000046080000}"/>
    <cellStyle name="_Flow-Ycl-8D+Mod" xfId="2120" xr:uid="{00000000-0005-0000-0000-000047080000}"/>
    <cellStyle name="_Graph" xfId="2121" xr:uid="{00000000-0005-0000-0000-000048080000}"/>
    <cellStyle name="_Graph1" xfId="2122" xr:uid="{00000000-0005-0000-0000-000049080000}"/>
    <cellStyle name="_Graph2" xfId="2123" xr:uid="{00000000-0005-0000-0000-00004A080000}"/>
    <cellStyle name="_Graph21" xfId="2124" xr:uid="{00000000-0005-0000-0000-00004B080000}"/>
    <cellStyle name="_Graph-Ycl-8-H+G1" xfId="2125" xr:uid="{00000000-0005-0000-0000-00004C080000}"/>
    <cellStyle name="_GSD Analysis Status - Fa'08" xfId="2126" xr:uid="{00000000-0005-0000-0000-00004D080000}"/>
    <cellStyle name="_GSD Analysis Status - Fa'08_Base Line Data YC-8(C)" xfId="2127" xr:uid="{00000000-0005-0000-0000-00004E080000}"/>
    <cellStyle name="_GSD Analysis Status - Fa'08_Base line Data-YC-15(G)" xfId="2128" xr:uid="{00000000-0005-0000-0000-00004F080000}"/>
    <cellStyle name="_GSD Analysis Status - Fa'08_Book1" xfId="2129" xr:uid="{00000000-0005-0000-0000-000050080000}"/>
    <cellStyle name="_GSD Analysis Status - Fa'08_GMC &amp; YSP SMV Reduction Report1" xfId="2130" xr:uid="{00000000-0005-0000-0000-000051080000}"/>
    <cellStyle name="_GSD Analysis Status - Fa'08_GMC &amp; YSP SMV Reduction Report1_Base Line Data YC-8(C)" xfId="2131" xr:uid="{00000000-0005-0000-0000-000052080000}"/>
    <cellStyle name="_GSD Analysis Status - Fa'08_GMC &amp; YSP SMV Reduction Report1_Base line Data-YC-15(G)" xfId="2132" xr:uid="{00000000-0005-0000-0000-000053080000}"/>
    <cellStyle name="_GSD Analysis Status - Fa'08_GMC &amp; YSP SMV Reduction Report1_Book1" xfId="2133" xr:uid="{00000000-0005-0000-0000-000054080000}"/>
    <cellStyle name="_GSD Analysis Status - Fa'08_GMC &amp; YSP SMV Reduction Report1_SQDC Board format (revised)-2013" xfId="2134" xr:uid="{00000000-0005-0000-0000-000055080000}"/>
    <cellStyle name="_GSD Analysis Status - Fa'08_Qingdao Youngone GSD Reduced report" xfId="2135" xr:uid="{00000000-0005-0000-0000-000056080000}"/>
    <cellStyle name="_GSD Analysis Status - Fa'08_SQDC Board format (revised)-2013" xfId="2136" xr:uid="{00000000-0005-0000-0000-000057080000}"/>
    <cellStyle name="_GSD Analysis Status 08.07.04- Fa'08" xfId="2137" xr:uid="{00000000-0005-0000-0000-000058080000}"/>
    <cellStyle name="_GSD Analysis Status 08.07.04- Fa'08_Base Line Data YC-8(C)" xfId="2138" xr:uid="{00000000-0005-0000-0000-000059080000}"/>
    <cellStyle name="_GSD Analysis Status 08.07.04- Fa'08_Base line Data-YC-15(G)" xfId="2139" xr:uid="{00000000-0005-0000-0000-00005A080000}"/>
    <cellStyle name="_GSD Analysis Status 08.07.04- Fa'08_Book1" xfId="2140" xr:uid="{00000000-0005-0000-0000-00005B080000}"/>
    <cellStyle name="_GSD Analysis Status 08.07.04- Fa'08_GMC &amp; YSP SMV Reduction Report1" xfId="2141" xr:uid="{00000000-0005-0000-0000-00005C080000}"/>
    <cellStyle name="_GSD Analysis Status 08.07.04- Fa'08_GMC &amp; YSP SMV Reduction Report1_Base Line Data YC-8(C)" xfId="2142" xr:uid="{00000000-0005-0000-0000-00005D080000}"/>
    <cellStyle name="_GSD Analysis Status 08.07.04- Fa'08_GMC &amp; YSP SMV Reduction Report1_Base line Data-YC-15(G)" xfId="2143" xr:uid="{00000000-0005-0000-0000-00005E080000}"/>
    <cellStyle name="_GSD Analysis Status 08.07.04- Fa'08_GMC &amp; YSP SMV Reduction Report1_Book1" xfId="2144" xr:uid="{00000000-0005-0000-0000-00005F080000}"/>
    <cellStyle name="_GSD Analysis Status 08.07.04- Fa'08_GMC &amp; YSP SMV Reduction Report1_SQDC Board format (revised)-2013" xfId="2145" xr:uid="{00000000-0005-0000-0000-000060080000}"/>
    <cellStyle name="_GSD Analysis Status 08.07.04- Fa'08_Qingdao Youngone GSD Reduced report" xfId="2146" xr:uid="{00000000-0005-0000-0000-000061080000}"/>
    <cellStyle name="_GSD Analysis Status 08.07.04- Fa'08_SQDC Board format (revised)-2013" xfId="2147" xr:uid="{00000000-0005-0000-0000-000062080000}"/>
    <cellStyle name="_GSD Implementation Summary-200508" xfId="2148" xr:uid="{00000000-0005-0000-0000-000063080000}"/>
    <cellStyle name="_June- 2010281" xfId="2149" xr:uid="{00000000-0005-0000-0000-000064080000}"/>
    <cellStyle name="_June- 2010281_27- JULY- 01 AUG" xfId="2150" xr:uid="{00000000-0005-0000-0000-000065080000}"/>
    <cellStyle name="_June- 2010281_April'01-04-2013" xfId="2151" xr:uid="{00000000-0005-0000-0000-000066080000}"/>
    <cellStyle name="_June- 2010281_aPRIL-29-02 mAY" xfId="2152" xr:uid="{00000000-0005-0000-0000-000067080000}"/>
    <cellStyle name="_June- 2010281_August '01-08-2013" xfId="2153" xr:uid="{00000000-0005-0000-0000-000068080000}"/>
    <cellStyle name="_June- 2010281_BD All Fac Weekly Eff% Status (11th Aug to 17th Aug) ' 12" xfId="2154" xr:uid="{00000000-0005-0000-0000-000069080000}"/>
    <cellStyle name="_June- 2010281_BD All Fac Weekly Eff% Status (14th July to 20th July) ' 12" xfId="2155" xr:uid="{00000000-0005-0000-0000-00006A080000}"/>
    <cellStyle name="_June- 2010281_BD All Fac Weekly Eff% Status (22nd Sep to 28th Sep) ' 12" xfId="2156" xr:uid="{00000000-0005-0000-0000-00006B080000}"/>
    <cellStyle name="_June- 2010281_BD All Fac Weekly Eff% Status (2nd June to 8th June) ' 12" xfId="2157" xr:uid="{00000000-0005-0000-0000-00006C080000}"/>
    <cellStyle name="_June- 2010281_BD All Fac Weekly Eff% Status (30th Mar -5th Apr) ' 13" xfId="2158" xr:uid="{00000000-0005-0000-0000-00006D080000}"/>
    <cellStyle name="_June- 2010281_BD All Fac Weekly Eff% Status (3rd Nov to 9th Nov) ' 12" xfId="2159" xr:uid="{00000000-0005-0000-0000-00006E080000}"/>
    <cellStyle name="_June- 2010281_BD All Fac Weekly Eff% Status (6th Oct to 12th Oct) ' 12" xfId="2160" xr:uid="{00000000-0005-0000-0000-00006F080000}"/>
    <cellStyle name="_June- 2010281_December'01-12-201213 Anima" xfId="2161" xr:uid="{00000000-0005-0000-0000-000070080000}"/>
    <cellStyle name="_June- 2010281_February'01-02-2013" xfId="2162" xr:uid="{00000000-0005-0000-0000-000071080000}"/>
    <cellStyle name="_June- 2010281_January'01-01-2013" xfId="2163" xr:uid="{00000000-0005-0000-0000-000072080000}"/>
    <cellStyle name="_June- 2010281_JULY '01-07-2013" xfId="2164" xr:uid="{00000000-0005-0000-0000-000073080000}"/>
    <cellStyle name="_June- 2010281_JUNE '01-06-2013" xfId="2165" xr:uid="{00000000-0005-0000-0000-000074080000}"/>
    <cellStyle name="_June- 2010281_JUNE '29-04 JULY" xfId="2166" xr:uid="{00000000-0005-0000-0000-000075080000}"/>
    <cellStyle name="_June- 2010281_March'" xfId="2167" xr:uid="{00000000-0005-0000-0000-000076080000}"/>
    <cellStyle name="_June- 2010281_March'01-02-2013" xfId="2168" xr:uid="{00000000-0005-0000-0000-000077080000}"/>
    <cellStyle name="_June- 2010281_May '01-05-2013" xfId="2169" xr:uid="{00000000-0005-0000-0000-000078080000}"/>
    <cellStyle name="_June- 2010281_October '01-10-2013" xfId="2170" xr:uid="{00000000-0005-0000-0000-000079080000}"/>
    <cellStyle name="_June- 2010281_Sep-oct" xfId="2171" xr:uid="{00000000-0005-0000-0000-00007A080000}"/>
    <cellStyle name="_June- 2010281_September '01-09-2013" xfId="2172" xr:uid="{00000000-0005-0000-0000-00007B080000}"/>
    <cellStyle name="_June- 2010281_Weekly prdn" xfId="2173" xr:uid="{00000000-0005-0000-0000-00007C080000}"/>
    <cellStyle name="_June- 2010281_Weekly Status" xfId="2174" xr:uid="{00000000-0005-0000-0000-00007D080000}"/>
    <cellStyle name="_June- 2010281_Ysl Weekly Status-201228" xfId="2175" xr:uid="{00000000-0005-0000-0000-00007E080000}"/>
    <cellStyle name="_June- 2010281_Ysl Weekly Status-201229" xfId="2176" xr:uid="{00000000-0005-0000-0000-00007F080000}"/>
    <cellStyle name="_June- 2010281_Ysl Weekly Status-201230" xfId="2177" xr:uid="{00000000-0005-0000-0000-000080080000}"/>
    <cellStyle name="_June- 2010281_Ysl Weekly Status-201231" xfId="2178" xr:uid="{00000000-0005-0000-0000-000081080000}"/>
    <cellStyle name="_June- 2010281_Ysl Weekly Status-201233" xfId="2179" xr:uid="{00000000-0005-0000-0000-000082080000}"/>
    <cellStyle name="_June- 2010281_Ysl Weekly Status-201234" xfId="2180" xr:uid="{00000000-0005-0000-0000-000083080000}"/>
    <cellStyle name="_June- 2010281_Ysl Weekly Status-201235" xfId="2181" xr:uid="{00000000-0005-0000-0000-000084080000}"/>
    <cellStyle name="_June- 2010281_Ysl Weekly Status-201236" xfId="2182" xr:uid="{00000000-0005-0000-0000-000085080000}"/>
    <cellStyle name="_June- 2010281_Ysl Weekly Status-201237" xfId="2183" xr:uid="{00000000-0005-0000-0000-000086080000}"/>
    <cellStyle name="_June- 2010281_Ysl Weekly Status-201238" xfId="2184" xr:uid="{00000000-0005-0000-0000-000087080000}"/>
    <cellStyle name="_June- 2010281_Ysl Weekly Status-201239" xfId="2185" xr:uid="{00000000-0005-0000-0000-000088080000}"/>
    <cellStyle name="_June- 2010281_Ysl Weekly Status-201240" xfId="2186" xr:uid="{00000000-0005-0000-0000-000089080000}"/>
    <cellStyle name="_June- 2010281_Ysl Weekly Status-201241" xfId="2187" xr:uid="{00000000-0005-0000-0000-00008A080000}"/>
    <cellStyle name="_June- 2010281_Ysl Weekly Status-2013" xfId="2188" xr:uid="{00000000-0005-0000-0000-00008B080000}"/>
    <cellStyle name="_June- 2010281_Ysl Weekly Status-20131" xfId="2189" xr:uid="{00000000-0005-0000-0000-00008C080000}"/>
    <cellStyle name="_June- 2010281_Ysl Weekly Status-20132" xfId="2190" xr:uid="{00000000-0005-0000-0000-00008D080000}"/>
    <cellStyle name="_June- 2010281_Ysl Weekly Status-20133" xfId="2191" xr:uid="{00000000-0005-0000-0000-00008E080000}"/>
    <cellStyle name="_June- 2010281_Ysl Weekly Status-20134" xfId="2192" xr:uid="{00000000-0005-0000-0000-00008F080000}"/>
    <cellStyle name="_Ksl  Weekly efficiency graph'10 )" xfId="2193" xr:uid="{00000000-0005-0000-0000-000090080000}"/>
    <cellStyle name="_Ksl  Weekly efficiency graph'10 ) 2" xfId="2194" xr:uid="{00000000-0005-0000-0000-000091080000}"/>
    <cellStyle name="_Line Graph" xfId="2195" xr:uid="{00000000-0005-0000-0000-000092080000}"/>
    <cellStyle name="_Line Graph - Ycl-81" xfId="2196" xr:uid="{00000000-0005-0000-0000-000093080000}"/>
    <cellStyle name="_Line Graph_Base Line Data YC-8(C)" xfId="2197" xr:uid="{00000000-0005-0000-0000-000094080000}"/>
    <cellStyle name="_Line Graph_Base line Data-YC-15(G)" xfId="2198" xr:uid="{00000000-0005-0000-0000-000095080000}"/>
    <cellStyle name="_Line Graph_Before 5's YC-8(C)" xfId="2199" xr:uid="{00000000-0005-0000-0000-000096080000}"/>
    <cellStyle name="_Line Graph_Book1" xfId="2200" xr:uid="{00000000-0005-0000-0000-000097080000}"/>
    <cellStyle name="_Line Graph_Copy of SK Raw data of SKB in Yc-6-(C) 26~31Jan '20131" xfId="2201" xr:uid="{00000000-0005-0000-0000-000098080000}"/>
    <cellStyle name="_Line Graph_Flow Chart YC-8(C) Before1" xfId="2202" xr:uid="{00000000-0005-0000-0000-000099080000}"/>
    <cellStyle name="_Line Graph_Graph-6B3" xfId="2203" xr:uid="{00000000-0005-0000-0000-00009A080000}"/>
    <cellStyle name="_Line Graph_Graph-6B4" xfId="2204" xr:uid="{00000000-0005-0000-0000-00009B080000}"/>
    <cellStyle name="_Line Graph_Graph-6B5" xfId="2205" xr:uid="{00000000-0005-0000-0000-00009C080000}"/>
    <cellStyle name="_Line Graph_OCT Graph A1" xfId="2206" xr:uid="{00000000-0005-0000-0000-00009D080000}"/>
    <cellStyle name="_Line Graph_SK Raw data of SKB in Yc-8-(J) 01~05 Dec'2012" xfId="2207" xr:uid="{00000000-0005-0000-0000-00009E080000}"/>
    <cellStyle name="_Line Graph_SK Raw data of SKB in Yc-8-(J) 01~05 Dec'2012_Base line Data-YC-15(G)" xfId="2208" xr:uid="{00000000-0005-0000-0000-00009F080000}"/>
    <cellStyle name="_Line Graph_SK Raw data of SKB in Yc-8-(J) 01~05 Dec'2012_Book1" xfId="2209" xr:uid="{00000000-0005-0000-0000-0000A0080000}"/>
    <cellStyle name="_Line Graph_SK Raw data of SKB in Yc-8-(J) 01~05 Dec'2012_Style Changeover Data Information-" xfId="2210" xr:uid="{00000000-0005-0000-0000-0000A1080000}"/>
    <cellStyle name="_Line Graph_SK Raw data of SKB in Yc-8-(J) 01~05 Dec'2012_Style Changeover Data Information-YCL13C" xfId="2211" xr:uid="{00000000-0005-0000-0000-0000A2080000}"/>
    <cellStyle name="_Line Graph_SKB RAW DATA" xfId="2212" xr:uid="{00000000-0005-0000-0000-0000A3080000}"/>
    <cellStyle name="_Line Graph_SKB YC-8(J)" xfId="2213" xr:uid="{00000000-0005-0000-0000-0000A4080000}"/>
    <cellStyle name="_Line Graph_SKB(Sewing Kaizen - YCL 14 (A)" xfId="2214" xr:uid="{00000000-0005-0000-0000-0000A5080000}"/>
    <cellStyle name="_Line Graph_SQDC Board format (revised)-2013" xfId="2215" xr:uid="{00000000-0005-0000-0000-0000A6080000}"/>
    <cellStyle name="_Line Graph_Style Change Over YC-7H  16~21 Aprl, 2013" xfId="2216" xr:uid="{00000000-0005-0000-0000-0000A7080000}"/>
    <cellStyle name="_Line Graph_Style Change Over YC-7H  16~21 Aprl, 2013_Base line Data-YC-15(G)" xfId="2217" xr:uid="{00000000-0005-0000-0000-0000A8080000}"/>
    <cellStyle name="_Line Graph_Style Change Over YC-7H  16~21 Aprl, 2013_Book1" xfId="2218" xr:uid="{00000000-0005-0000-0000-0000A9080000}"/>
    <cellStyle name="_Line Graph_Style Change Over YC-7H  16~21 Aprl, 2013_Style Changeover Data Information-" xfId="2219" xr:uid="{00000000-0005-0000-0000-0000AA080000}"/>
    <cellStyle name="_Line Graph_Style Change Over YC-7H  16~21 Aprl, 2013_Style Changeover Data Information-YCL13C" xfId="2220" xr:uid="{00000000-0005-0000-0000-0000AB080000}"/>
    <cellStyle name="_Line Graph_Style Change Over YC-9 (I)  28~02 May, 2013" xfId="2221" xr:uid="{00000000-0005-0000-0000-0000AC080000}"/>
    <cellStyle name="_Line Graph_Style Change Over YC-9 (I)  28~02 May, 2013_Base line Data-YC-15(G)" xfId="2222" xr:uid="{00000000-0005-0000-0000-0000AD080000}"/>
    <cellStyle name="_Line Graph_Style Change Over YC-9 (I)  28~02 May, 2013_Book1" xfId="2223" xr:uid="{00000000-0005-0000-0000-0000AE080000}"/>
    <cellStyle name="_Line Graph_Style Change Over YC-9 (I)  28~02 May, 2013_Style Changeover Data Information-" xfId="2224" xr:uid="{00000000-0005-0000-0000-0000AF080000}"/>
    <cellStyle name="_Line Graph_Style Change Over YC-9 (I)  28~02 May, 2013_Style Changeover Data Information-YCL13C" xfId="2225" xr:uid="{00000000-0005-0000-0000-0000B0080000}"/>
    <cellStyle name="_Line Graph_Style Changeover Data Information-" xfId="2226" xr:uid="{00000000-0005-0000-0000-0000B1080000}"/>
    <cellStyle name="_Line Graph_Xl0000034" xfId="2227" xr:uid="{00000000-0005-0000-0000-0000B2080000}"/>
    <cellStyle name="_Low Efficiency  Root Cause Analysis(Lsl) Floor Base LSL-7" xfId="2228" xr:uid="{00000000-0005-0000-0000-0000B3080000}"/>
    <cellStyle name="_Lsl Daily Prdn Report Apr ' 11" xfId="2229" xr:uid="{00000000-0005-0000-0000-0000B4080000}"/>
    <cellStyle name="_Lsl Daily Prdn Report Apr ' 11 2" xfId="2230" xr:uid="{00000000-0005-0000-0000-0000B5080000}"/>
    <cellStyle name="_Lsl Daily Prdn Report Apr ' 111" xfId="2231" xr:uid="{00000000-0005-0000-0000-0000B6080000}"/>
    <cellStyle name="_Lsl Daily Prdn Report Apr ' 111 2" xfId="2232" xr:uid="{00000000-0005-0000-0000-0000B7080000}"/>
    <cellStyle name="_Lsl Daily Prdn Report Apr ' 112" xfId="2233" xr:uid="{00000000-0005-0000-0000-0000B8080000}"/>
    <cellStyle name="_Lsl Daily Prdn Report Apr ' 112 2" xfId="2234" xr:uid="{00000000-0005-0000-0000-0000B9080000}"/>
    <cellStyle name="_Lsl Daily Prdn Report Apr ' 113" xfId="2235" xr:uid="{00000000-0005-0000-0000-0000BA080000}"/>
    <cellStyle name="_Lsl Daily Prdn Report Apr ' 113 2" xfId="2236" xr:uid="{00000000-0005-0000-0000-0000BB080000}"/>
    <cellStyle name="_Lsl Daily Prdn Report Aug'11" xfId="2237" xr:uid="{00000000-0005-0000-0000-0000BC080000}"/>
    <cellStyle name="_Lsl Daily Prdn Report Aug'11 2" xfId="2238" xr:uid="{00000000-0005-0000-0000-0000BD080000}"/>
    <cellStyle name="_Lsl Daily Prdn Report Aug'111" xfId="2239" xr:uid="{00000000-0005-0000-0000-0000BE080000}"/>
    <cellStyle name="_Lsl Daily Prdn Report Aug'111 2" xfId="2240" xr:uid="{00000000-0005-0000-0000-0000BF080000}"/>
    <cellStyle name="_Lsl Daily Prdn Report Aug'112" xfId="2241" xr:uid="{00000000-0005-0000-0000-0000C0080000}"/>
    <cellStyle name="_Lsl Daily Prdn Report Aug'112 2" xfId="2242" xr:uid="{00000000-0005-0000-0000-0000C1080000}"/>
    <cellStyle name="_Lsl Daily Prdn Report Aug'113" xfId="2243" xr:uid="{00000000-0005-0000-0000-0000C2080000}"/>
    <cellStyle name="_Lsl Daily Prdn Report Aug'113 2" xfId="2244" xr:uid="{00000000-0005-0000-0000-0000C3080000}"/>
    <cellStyle name="_Lsl Daily Prdn Report Aug'114" xfId="2245" xr:uid="{00000000-0005-0000-0000-0000C4080000}"/>
    <cellStyle name="_Lsl Daily Prdn Report Aug'114 2" xfId="2246" xr:uid="{00000000-0005-0000-0000-0000C5080000}"/>
    <cellStyle name="_Lsl Daily Prdn Report Dec ' 103" xfId="2247" xr:uid="{00000000-0005-0000-0000-0000C6080000}"/>
    <cellStyle name="_Lsl Daily Prdn Report Dec ' 103 2" xfId="2248" xr:uid="{00000000-0005-0000-0000-0000C7080000}"/>
    <cellStyle name="_Lsl Daily Prdn Report Dec'11" xfId="2249" xr:uid="{00000000-0005-0000-0000-0000C8080000}"/>
    <cellStyle name="_Lsl Daily Prdn Report Dec'11 2" xfId="2250" xr:uid="{00000000-0005-0000-0000-0000C9080000}"/>
    <cellStyle name="_Lsl Daily Prdn Report Dec'111" xfId="2251" xr:uid="{00000000-0005-0000-0000-0000CA080000}"/>
    <cellStyle name="_Lsl Daily Prdn Report Dec'111 2" xfId="2252" xr:uid="{00000000-0005-0000-0000-0000CB080000}"/>
    <cellStyle name="_Lsl Daily Prdn Report Dec'112" xfId="2253" xr:uid="{00000000-0005-0000-0000-0000CC080000}"/>
    <cellStyle name="_Lsl Daily Prdn Report Dec'112 2" xfId="2254" xr:uid="{00000000-0005-0000-0000-0000CD080000}"/>
    <cellStyle name="_Lsl Daily Prdn Report Dec'113" xfId="2255" xr:uid="{00000000-0005-0000-0000-0000CE080000}"/>
    <cellStyle name="_Lsl Daily Prdn Report Dec'113 2" xfId="2256" xr:uid="{00000000-0005-0000-0000-0000CF080000}"/>
    <cellStyle name="_Lsl Daily Prdn Report Jan'12" xfId="2257" xr:uid="{00000000-0005-0000-0000-0000D0080000}"/>
    <cellStyle name="_Lsl Daily Prdn Report Jan'12 2" xfId="2258" xr:uid="{00000000-0005-0000-0000-0000D1080000}"/>
    <cellStyle name="_Lsl Daily Prdn Report Jan'121" xfId="2259" xr:uid="{00000000-0005-0000-0000-0000D2080000}"/>
    <cellStyle name="_Lsl Daily Prdn Report Jan'121 2" xfId="2260" xr:uid="{00000000-0005-0000-0000-0000D3080000}"/>
    <cellStyle name="_Lsl Daily Prdn Report Jan'122" xfId="2261" xr:uid="{00000000-0005-0000-0000-0000D4080000}"/>
    <cellStyle name="_Lsl Daily Prdn Report Jan'122 2" xfId="2262" xr:uid="{00000000-0005-0000-0000-0000D5080000}"/>
    <cellStyle name="_Lsl Daily Prdn Report Jun'11" xfId="2263" xr:uid="{00000000-0005-0000-0000-0000D6080000}"/>
    <cellStyle name="_Lsl Daily Prdn Report Jun'11 2" xfId="2264" xr:uid="{00000000-0005-0000-0000-0000D7080000}"/>
    <cellStyle name="_Lsl Daily Prdn Report Jun'111" xfId="2265" xr:uid="{00000000-0005-0000-0000-0000D8080000}"/>
    <cellStyle name="_Lsl Daily Prdn Report Jun'111 2" xfId="2266" xr:uid="{00000000-0005-0000-0000-0000D9080000}"/>
    <cellStyle name="_Lsl Daily Prdn Report Jun'112" xfId="2267" xr:uid="{00000000-0005-0000-0000-0000DA080000}"/>
    <cellStyle name="_Lsl Daily Prdn Report Jun'112 2" xfId="2268" xr:uid="{00000000-0005-0000-0000-0000DB080000}"/>
    <cellStyle name="_Lsl Daily Prdn Report Jun'114" xfId="2269" xr:uid="{00000000-0005-0000-0000-0000DC080000}"/>
    <cellStyle name="_Lsl Daily Prdn Report Jun'114 2" xfId="2270" xr:uid="{00000000-0005-0000-0000-0000DD080000}"/>
    <cellStyle name="_Lsl Daily Prdn Report Jun'115" xfId="2271" xr:uid="{00000000-0005-0000-0000-0000DE080000}"/>
    <cellStyle name="_Lsl Daily Prdn Report Jun'115 2" xfId="2272" xr:uid="{00000000-0005-0000-0000-0000DF080000}"/>
    <cellStyle name="_Lsl Daily Prdn Report May ' 111" xfId="2273" xr:uid="{00000000-0005-0000-0000-0000E0080000}"/>
    <cellStyle name="_Lsl Daily Prdn Report May ' 111 2" xfId="2274" xr:uid="{00000000-0005-0000-0000-0000E1080000}"/>
    <cellStyle name="_Lsl Daily Prdn Report May ' 113" xfId="2275" xr:uid="{00000000-0005-0000-0000-0000E2080000}"/>
    <cellStyle name="_Lsl Daily Prdn Report May ' 113 2" xfId="2276" xr:uid="{00000000-0005-0000-0000-0000E3080000}"/>
    <cellStyle name="_Lsl Daily Prdn Report May ' 113 2 2" xfId="2277" xr:uid="{00000000-0005-0000-0000-0000E4080000}"/>
    <cellStyle name="_Lsl Daily Prdn Report May ' 113 2 2 2" xfId="2278" xr:uid="{00000000-0005-0000-0000-0000E5080000}"/>
    <cellStyle name="_Lsl Daily Prdn Report May ' 113 3" xfId="2279" xr:uid="{00000000-0005-0000-0000-0000E6080000}"/>
    <cellStyle name="_Lsl Daily Prdn Report May ' 1131" xfId="2280" xr:uid="{00000000-0005-0000-0000-0000E7080000}"/>
    <cellStyle name="_Lsl Daily Prdn Report May ' 1131 2" xfId="2281" xr:uid="{00000000-0005-0000-0000-0000E8080000}"/>
    <cellStyle name="_Lsl Daily Prdn Report May ' 1132" xfId="2282" xr:uid="{00000000-0005-0000-0000-0000E9080000}"/>
    <cellStyle name="_Lsl Daily Prdn Report May ' 1132 2" xfId="2283" xr:uid="{00000000-0005-0000-0000-0000EA080000}"/>
    <cellStyle name="_Lsl Daily Prdn Report Nov'1011" xfId="2284" xr:uid="{00000000-0005-0000-0000-0000EB080000}"/>
    <cellStyle name="_Lsl Daily Prdn Report Nov'1011 2" xfId="2285" xr:uid="{00000000-0005-0000-0000-0000EC080000}"/>
    <cellStyle name="_Lsl Daily Prdn Report Nov'101112" xfId="2286" xr:uid="{00000000-0005-0000-0000-0000ED080000}"/>
    <cellStyle name="_Lsl Daily Prdn Report Nov'101112 2" xfId="2287" xr:uid="{00000000-0005-0000-0000-0000EE080000}"/>
    <cellStyle name="_Lsl Daily Prdn Report Nov'11" xfId="2288" xr:uid="{00000000-0005-0000-0000-0000EF080000}"/>
    <cellStyle name="_Lsl Daily Prdn Report Nov'11 2" xfId="2289" xr:uid="{00000000-0005-0000-0000-0000F0080000}"/>
    <cellStyle name="_Lsl Daily Prdn Report Nov'111" xfId="2290" xr:uid="{00000000-0005-0000-0000-0000F1080000}"/>
    <cellStyle name="_Lsl Daily Prdn Report Nov'111 2" xfId="2291" xr:uid="{00000000-0005-0000-0000-0000F2080000}"/>
    <cellStyle name="_Lsl Daily Prdn Report Nov'112" xfId="2292" xr:uid="{00000000-0005-0000-0000-0000F3080000}"/>
    <cellStyle name="_Lsl Daily Prdn Report Nov'112 2" xfId="2293" xr:uid="{00000000-0005-0000-0000-0000F4080000}"/>
    <cellStyle name="_Lsl Daily Prdn Report Nov'113" xfId="2294" xr:uid="{00000000-0005-0000-0000-0000F5080000}"/>
    <cellStyle name="_Lsl Daily Prdn Report Nov'113 2" xfId="2295" xr:uid="{00000000-0005-0000-0000-0000F6080000}"/>
    <cellStyle name="_Lsl Daily Prdn Report Oct'10" xfId="2296" xr:uid="{00000000-0005-0000-0000-0000F7080000}"/>
    <cellStyle name="_Lsl Daily Prdn Report Oct'10 2" xfId="2297" xr:uid="{00000000-0005-0000-0000-0000F8080000}"/>
    <cellStyle name="_Lsl Daily Prdn Report Oct'1013" xfId="2298" xr:uid="{00000000-0005-0000-0000-0000F9080000}"/>
    <cellStyle name="_Lsl Daily Prdn Report Oct'1013 2" xfId="2299" xr:uid="{00000000-0005-0000-0000-0000FA080000}"/>
    <cellStyle name="_Lsl Daily Prdn Report Oct'104" xfId="2300" xr:uid="{00000000-0005-0000-0000-0000FB080000}"/>
    <cellStyle name="_Lsl Daily Prdn Report Oct'104 2" xfId="2301" xr:uid="{00000000-0005-0000-0000-0000FC080000}"/>
    <cellStyle name="_Lsl Daily Prdn Report Oct'11" xfId="2302" xr:uid="{00000000-0005-0000-0000-0000FD080000}"/>
    <cellStyle name="_Lsl Daily Prdn Report Oct'11 2" xfId="2303" xr:uid="{00000000-0005-0000-0000-0000FE080000}"/>
    <cellStyle name="_Lsl Daily Prdn Report Oct'111" xfId="2304" xr:uid="{00000000-0005-0000-0000-0000FF080000}"/>
    <cellStyle name="_Lsl Daily Prdn Report Oct'111 2" xfId="2305" xr:uid="{00000000-0005-0000-0000-000000090000}"/>
    <cellStyle name="_Lsl Daily Prdn Report Sep'11" xfId="2306" xr:uid="{00000000-0005-0000-0000-000001090000}"/>
    <cellStyle name="_Lsl Daily Prdn Report Sep'11 2" xfId="2307" xr:uid="{00000000-0005-0000-0000-000002090000}"/>
    <cellStyle name="_Lsl Daily Prdn Report Sep'111" xfId="2308" xr:uid="{00000000-0005-0000-0000-000003090000}"/>
    <cellStyle name="_Lsl Daily Prdn Report Sep'111 2" xfId="2309" xr:uid="{00000000-0005-0000-0000-000004090000}"/>
    <cellStyle name="_Lsl Daily Prdn Report Sep'112" xfId="2310" xr:uid="{00000000-0005-0000-0000-000005090000}"/>
    <cellStyle name="_Lsl Daily Prdn Report Sep'112 2" xfId="2311" xr:uid="{00000000-0005-0000-0000-000006090000}"/>
    <cellStyle name="_Lsl Daily Prdn Report Sep'113" xfId="2312" xr:uid="{00000000-0005-0000-0000-000007090000}"/>
    <cellStyle name="_Lsl Daily Prdn Report Sep'113 2" xfId="2313" xr:uid="{00000000-0005-0000-0000-000008090000}"/>
    <cellStyle name="_Lsl Daily Prdn Report September '09(Eff%)" xfId="2314" xr:uid="{00000000-0005-0000-0000-000009090000}"/>
    <cellStyle name="_Lsl Daily Prdn Report September '09(Eff%) 2" xfId="2315" xr:uid="{00000000-0005-0000-0000-00000A090000}"/>
    <cellStyle name="_Lsl Daily Prdn ReportJul'11" xfId="2316" xr:uid="{00000000-0005-0000-0000-00000B090000}"/>
    <cellStyle name="_Lsl Daily Prdn ReportJul'11 2" xfId="2317" xr:uid="{00000000-0005-0000-0000-00000C090000}"/>
    <cellStyle name="_Lsl Daily Prdn ReportJul'111" xfId="2318" xr:uid="{00000000-0005-0000-0000-00000D090000}"/>
    <cellStyle name="_Lsl Daily Prdn ReportJul'111 2" xfId="2319" xr:uid="{00000000-0005-0000-0000-00000E090000}"/>
    <cellStyle name="_Lsl Daily Prdn ReportJul'112" xfId="2320" xr:uid="{00000000-0005-0000-0000-00000F090000}"/>
    <cellStyle name="_Lsl Daily Prdn ReportJul'112 2" xfId="2321" xr:uid="{00000000-0005-0000-0000-000010090000}"/>
    <cellStyle name="_Lsl Daily Prdn ReportJul'113" xfId="2322" xr:uid="{00000000-0005-0000-0000-000011090000}"/>
    <cellStyle name="_Lsl Daily Prdn ReportJul'113 2" xfId="2323" xr:uid="{00000000-0005-0000-0000-000012090000}"/>
    <cellStyle name="_Lsl Daily Prdn Reprt Feb ' 11" xfId="2324" xr:uid="{00000000-0005-0000-0000-000013090000}"/>
    <cellStyle name="_Lsl Daily Prdn Reprt Feb ' 11 2" xfId="2325" xr:uid="{00000000-0005-0000-0000-000014090000}"/>
    <cellStyle name="_Lsl Daily Prdn Reprt Feb ' 111" xfId="2326" xr:uid="{00000000-0005-0000-0000-000015090000}"/>
    <cellStyle name="_Lsl Daily Prdn Reprt Feb ' 111 2" xfId="2327" xr:uid="{00000000-0005-0000-0000-000016090000}"/>
    <cellStyle name="_Lsl Daily Prdn Reprt Feb ' 112" xfId="2328" xr:uid="{00000000-0005-0000-0000-000017090000}"/>
    <cellStyle name="_Lsl Daily Prdn Reprt Feb ' 112 2" xfId="2329" xr:uid="{00000000-0005-0000-0000-000018090000}"/>
    <cellStyle name="_Lsl Daily Prdn Reprt Feb ' 113" xfId="2330" xr:uid="{00000000-0005-0000-0000-000019090000}"/>
    <cellStyle name="_Lsl Daily Prdn Reprt Feb ' 113 2" xfId="2331" xr:uid="{00000000-0005-0000-0000-00001A090000}"/>
    <cellStyle name="_Lsl Daily Prdn Reprt Jan ' 11" xfId="2332" xr:uid="{00000000-0005-0000-0000-00001B090000}"/>
    <cellStyle name="_Lsl Daily Prdn Reprt Jan ' 11 2" xfId="2333" xr:uid="{00000000-0005-0000-0000-00001C090000}"/>
    <cellStyle name="_Lsl Daily Prdn Reprt Jan ' 111" xfId="2334" xr:uid="{00000000-0005-0000-0000-00001D090000}"/>
    <cellStyle name="_Lsl Daily Prdn Reprt Jan ' 111 2" xfId="2335" xr:uid="{00000000-0005-0000-0000-00001E090000}"/>
    <cellStyle name="_Lsl Daily Prdn Reprt Jan ' 112" xfId="2336" xr:uid="{00000000-0005-0000-0000-00001F090000}"/>
    <cellStyle name="_Lsl Daily Prdn Reprt Jan ' 112 2" xfId="2337" xr:uid="{00000000-0005-0000-0000-000020090000}"/>
    <cellStyle name="_Lsl Daily Prdn Reprt Jan ' 113" xfId="2338" xr:uid="{00000000-0005-0000-0000-000021090000}"/>
    <cellStyle name="_Lsl Daily Prdn Reprt Jan ' 113 2" xfId="2339" xr:uid="{00000000-0005-0000-0000-000022090000}"/>
    <cellStyle name="_Lsl Daily Prdn Reprt Mar ' 11" xfId="2340" xr:uid="{00000000-0005-0000-0000-000023090000}"/>
    <cellStyle name="_Lsl Daily Prdn Reprt Mar ' 11 2" xfId="2341" xr:uid="{00000000-0005-0000-0000-000024090000}"/>
    <cellStyle name="_Lsl Daily Prdn Reprt Mar ' 111" xfId="2342" xr:uid="{00000000-0005-0000-0000-000025090000}"/>
    <cellStyle name="_Lsl Daily Prdn Reprt Mar ' 111 2" xfId="2343" xr:uid="{00000000-0005-0000-0000-000026090000}"/>
    <cellStyle name="_Lsl Daily Prdn Reprt Mar ' 112" xfId="2344" xr:uid="{00000000-0005-0000-0000-000027090000}"/>
    <cellStyle name="_Lsl Daily Prdn Reprt Mar ' 112 2" xfId="2345" xr:uid="{00000000-0005-0000-0000-000028090000}"/>
    <cellStyle name="_Lsl Daily Prdn Reprt Mar ' 113" xfId="2346" xr:uid="{00000000-0005-0000-0000-000029090000}"/>
    <cellStyle name="_Lsl Daily Prdn Reprt Mar ' 113 2" xfId="2347" xr:uid="{00000000-0005-0000-0000-00002A090000}"/>
    <cellStyle name="_Lsl Daily Prdn Reprt Mar ' 114" xfId="2348" xr:uid="{00000000-0005-0000-0000-00002B090000}"/>
    <cellStyle name="_Lsl Daily Prdn Reprt Mar ' 114 2" xfId="2349" xr:uid="{00000000-0005-0000-0000-00002C090000}"/>
    <cellStyle name="_Lsl Dec ' 10" xfId="2350" xr:uid="{00000000-0005-0000-0000-00002D090000}"/>
    <cellStyle name="_Lsl Dec ' 10 2" xfId="2351" xr:uid="{00000000-0005-0000-0000-00002E090000}"/>
    <cellStyle name="_Lsl May to Aug ' 10" xfId="2352" xr:uid="{00000000-0005-0000-0000-00002F090000}"/>
    <cellStyle name="_Lsl May to Aug ' 10 2" xfId="2353" xr:uid="{00000000-0005-0000-0000-000030090000}"/>
    <cellStyle name="_LSL Report Weekly" xfId="2354" xr:uid="{00000000-0005-0000-0000-000031090000}"/>
    <cellStyle name="_LSL Report Weekly 2" xfId="2355" xr:uid="{00000000-0005-0000-0000-000032090000}"/>
    <cellStyle name="_LSL Report Weekly2" xfId="2356" xr:uid="{00000000-0005-0000-0000-000033090000}"/>
    <cellStyle name="_LSL Report Weekly2 2" xfId="2357" xr:uid="{00000000-0005-0000-0000-000034090000}"/>
    <cellStyle name="_LSL Weekly Eff% (1-7) Oct'11" xfId="2358" xr:uid="{00000000-0005-0000-0000-000035090000}"/>
    <cellStyle name="_LSL Weekly Eff% (1-7) Oct'11 2" xfId="2359" xr:uid="{00000000-0005-0000-0000-000036090000}"/>
    <cellStyle name="_LSL Weekly Eff% (24-30) Sep'11" xfId="2360" xr:uid="{00000000-0005-0000-0000-000037090000}"/>
    <cellStyle name="_LSL Weekly Eff% (24-30) Sep'11 2" xfId="2361" xr:uid="{00000000-0005-0000-0000-000038090000}"/>
    <cellStyle name="_LSL Weekly Efficiency (28th Jan-3rd Feb)'12" xfId="2362" xr:uid="{00000000-0005-0000-0000-000039090000}"/>
    <cellStyle name="_MATERIAL FLOW CHART (BEFORE)1" xfId="2363" xr:uid="{00000000-0005-0000-0000-00003A090000}"/>
    <cellStyle name="_Material Flow1" xfId="2364" xr:uid="{00000000-0005-0000-0000-00003B090000}"/>
    <cellStyle name="_MFC BEFORE" xfId="2365" xr:uid="{00000000-0005-0000-0000-00003C090000}"/>
    <cellStyle name="_MFC(Yc 10C)" xfId="2366" xr:uid="{00000000-0005-0000-0000-00003D090000}"/>
    <cellStyle name="_New Format April-2011" xfId="2367" xr:uid="{00000000-0005-0000-0000-00003E090000}"/>
    <cellStyle name="_New Format April-2011 2" xfId="2368" xr:uid="{00000000-0005-0000-0000-00003F090000}"/>
    <cellStyle name="_New Format August-2011" xfId="2369" xr:uid="{00000000-0005-0000-0000-000040090000}"/>
    <cellStyle name="_New Format August-2011 2" xfId="2370" xr:uid="{00000000-0005-0000-0000-000041090000}"/>
    <cellStyle name="_New Format August-2012" xfId="2371" xr:uid="{00000000-0005-0000-0000-000042090000}"/>
    <cellStyle name="_New Format December-2011.." xfId="2372" xr:uid="{00000000-0005-0000-0000-000043090000}"/>
    <cellStyle name="_New Format December-2011.. 2" xfId="2373" xr:uid="{00000000-0005-0000-0000-000044090000}"/>
    <cellStyle name="_New Format December-2012" xfId="2374" xr:uid="{00000000-0005-0000-0000-000045090000}"/>
    <cellStyle name="_New Format December-We" xfId="2375" xr:uid="{00000000-0005-0000-0000-000046090000}"/>
    <cellStyle name="_New Format December-We 2" xfId="2376" xr:uid="{00000000-0005-0000-0000-000047090000}"/>
    <cellStyle name="_New Format February-2013" xfId="2377" xr:uid="{00000000-0005-0000-0000-000048090000}"/>
    <cellStyle name="_New Format January-2012" xfId="2378" xr:uid="{00000000-0005-0000-0000-000049090000}"/>
    <cellStyle name="_New Format March-2011" xfId="2379" xr:uid="{00000000-0005-0000-0000-00004A090000}"/>
    <cellStyle name="_New Format March-2011 2" xfId="2380" xr:uid="{00000000-0005-0000-0000-00004B090000}"/>
    <cellStyle name="_New Format March-20121" xfId="2381" xr:uid="{00000000-0005-0000-0000-00004C090000}"/>
    <cellStyle name="_New Format May-2011" xfId="2382" xr:uid="{00000000-0005-0000-0000-00004D090000}"/>
    <cellStyle name="_New Format May-2011 2" xfId="2383" xr:uid="{00000000-0005-0000-0000-00004E090000}"/>
    <cellStyle name="_New Format May-2012" xfId="2384" xr:uid="{00000000-0005-0000-0000-00004F090000}"/>
    <cellStyle name="_New Format November-2012" xfId="2385" xr:uid="{00000000-0005-0000-0000-000050090000}"/>
    <cellStyle name="_New Format Oct-2011" xfId="2386" xr:uid="{00000000-0005-0000-0000-000051090000}"/>
    <cellStyle name="_New Format Oct-2011 2" xfId="2387" xr:uid="{00000000-0005-0000-0000-000052090000}"/>
    <cellStyle name="_New Format Oct-20111" xfId="2388" xr:uid="{00000000-0005-0000-0000-000053090000}"/>
    <cellStyle name="_New Format Oct-20111 2" xfId="2389" xr:uid="{00000000-0005-0000-0000-000054090000}"/>
    <cellStyle name="_New Format October-2012" xfId="2390" xr:uid="{00000000-0005-0000-0000-000055090000}"/>
    <cellStyle name="_New Format September-2011" xfId="2391" xr:uid="{00000000-0005-0000-0000-000056090000}"/>
    <cellStyle name="_New Format September-2011 2" xfId="2392" xr:uid="{00000000-0005-0000-0000-000057090000}"/>
    <cellStyle name="_New Format September-2012" xfId="2393" xr:uid="{00000000-0005-0000-0000-000058090000}"/>
    <cellStyle name="_OCT VS TT YCL-8-MOD+ELINE1" xfId="2394" xr:uid="{00000000-0005-0000-0000-000059090000}"/>
    <cellStyle name="_OCT VS TT YCL-B-ILINE" xfId="2395" xr:uid="{00000000-0005-0000-0000-00005A090000}"/>
    <cellStyle name="_OCT-J" xfId="2396" xr:uid="{00000000-0005-0000-0000-00005B090000}"/>
    <cellStyle name="_OCT-J_After 5's" xfId="2397" xr:uid="{00000000-0005-0000-0000-00005C090000}"/>
    <cellStyle name="_OCT-J_Base Line Data YC-8(C)" xfId="2398" xr:uid="{00000000-0005-0000-0000-00005D090000}"/>
    <cellStyle name="_OCT-J_Base line Data-YC-15(G)" xfId="2399" xr:uid="{00000000-0005-0000-0000-00005E090000}"/>
    <cellStyle name="_OCT-J_Book1" xfId="2400" xr:uid="{00000000-0005-0000-0000-00005F090000}"/>
    <cellStyle name="_OCT-J_Copy of SK Raw data of SKB in Yc-6-(C) 26~31Jan '20131" xfId="2401" xr:uid="{00000000-0005-0000-0000-000060090000}"/>
    <cellStyle name="_OCT-J_Critical poin" xfId="2402" xr:uid="{00000000-0005-0000-0000-000061090000}"/>
    <cellStyle name="_OCT-J_Critical poin1" xfId="2403" xr:uid="{00000000-0005-0000-0000-000062090000}"/>
    <cellStyle name="_OCT-J_Flow Chart YC-8(C) Before1" xfId="2404" xr:uid="{00000000-0005-0000-0000-000063090000}"/>
    <cellStyle name="_OCT-J_OCT Graph A1" xfId="2405" xr:uid="{00000000-0005-0000-0000-000064090000}"/>
    <cellStyle name="_OCT-J_peroto Chart YC-8" xfId="2406" xr:uid="{00000000-0005-0000-0000-000065090000}"/>
    <cellStyle name="_OCT-J_SK Raw data of SKB in Yc-8-(J) 01~05 Dec'2012" xfId="2407" xr:uid="{00000000-0005-0000-0000-000066090000}"/>
    <cellStyle name="_OCT-J_SK Raw data of SKB in Yc-8-(J) 01~05 Dec'2012_Base line Data-YC-15(G)" xfId="2408" xr:uid="{00000000-0005-0000-0000-000067090000}"/>
    <cellStyle name="_OCT-J_SK Raw data of SKB in Yc-8-(J) 01~05 Dec'2012_Book1" xfId="2409" xr:uid="{00000000-0005-0000-0000-000068090000}"/>
    <cellStyle name="_OCT-J_SK Raw data of SKB in Yc-8-(J) 01~05 Dec'2012_Style Changeover Data Information-" xfId="2410" xr:uid="{00000000-0005-0000-0000-000069090000}"/>
    <cellStyle name="_OCT-J_SK Raw data of SKB in Yc-8-(J) 01~05 Dec'2012_Style Changeover Data Information-YCL13C" xfId="2411" xr:uid="{00000000-0005-0000-0000-00006A090000}"/>
    <cellStyle name="_OCT-J_SKB RAW DATA" xfId="2412" xr:uid="{00000000-0005-0000-0000-00006B090000}"/>
    <cellStyle name="_OCT-J_SKB YC-8(J)" xfId="2413" xr:uid="{00000000-0005-0000-0000-00006C090000}"/>
    <cellStyle name="_OCT-J_SKB(Sewing Kaizen - YCL 14 (A)" xfId="2414" xr:uid="{00000000-0005-0000-0000-00006D090000}"/>
    <cellStyle name="_OCT-J_SQDC Board format (revised)-2013" xfId="2415" xr:uid="{00000000-0005-0000-0000-00006E090000}"/>
    <cellStyle name="_OCT-J_Style Change Over YC-7H  16~21 Aprl, 2013" xfId="2416" xr:uid="{00000000-0005-0000-0000-00006F090000}"/>
    <cellStyle name="_OCT-J_Style Change Over YC-7H  16~21 Aprl, 2013_Base line Data-YC-15(G)" xfId="2417" xr:uid="{00000000-0005-0000-0000-000070090000}"/>
    <cellStyle name="_OCT-J_Style Change Over YC-7H  16~21 Aprl, 2013_Book1" xfId="2418" xr:uid="{00000000-0005-0000-0000-000071090000}"/>
    <cellStyle name="_OCT-J_Style Change Over YC-7H  16~21 Aprl, 2013_Style Changeover Data Information-" xfId="2419" xr:uid="{00000000-0005-0000-0000-000072090000}"/>
    <cellStyle name="_OCT-J_Style Change Over YC-7H  16~21 Aprl, 2013_Style Changeover Data Information-YCL13C" xfId="2420" xr:uid="{00000000-0005-0000-0000-000073090000}"/>
    <cellStyle name="_OCT-J_Style Change Over YC-9 (I)  28~02 May, 2013" xfId="2421" xr:uid="{00000000-0005-0000-0000-000074090000}"/>
    <cellStyle name="_OCT-J_Style Change Over YC-9 (I)  28~02 May, 2013_Base line Data-YC-15(G)" xfId="2422" xr:uid="{00000000-0005-0000-0000-000075090000}"/>
    <cellStyle name="_OCT-J_Style Change Over YC-9 (I)  28~02 May, 2013_Book1" xfId="2423" xr:uid="{00000000-0005-0000-0000-000076090000}"/>
    <cellStyle name="_OCT-J_Style Change Over YC-9 (I)  28~02 May, 2013_Style Changeover Data Information-" xfId="2424" xr:uid="{00000000-0005-0000-0000-000077090000}"/>
    <cellStyle name="_OCT-J_Style Change Over YC-9 (I)  28~02 May, 2013_Style Changeover Data Information-YCL13C" xfId="2425" xr:uid="{00000000-0005-0000-0000-000078090000}"/>
    <cellStyle name="_OCT-J_Style Changeover Data Information-" xfId="2426" xr:uid="{00000000-0005-0000-0000-000079090000}"/>
    <cellStyle name="_OCT-J_Xl0000034" xfId="2427" xr:uid="{00000000-0005-0000-0000-00007A090000}"/>
    <cellStyle name="_ORDERS" xfId="2428" xr:uid="{00000000-0005-0000-0000-00007B090000}"/>
    <cellStyle name="_PIK Raw Data  from 17~21 Mar,2012" xfId="2429" xr:uid="{00000000-0005-0000-0000-00007C090000}"/>
    <cellStyle name="_PIK Raw Data  from 17~21 Mar,2012_After 5's" xfId="2430" xr:uid="{00000000-0005-0000-0000-00007D090000}"/>
    <cellStyle name="_PIK Raw Data  from 17~21 Mar,2012_Base Line Data YC-8(C)" xfId="2431" xr:uid="{00000000-0005-0000-0000-00007E090000}"/>
    <cellStyle name="_PIK Raw Data  from 17~21 Mar,2012_Base line Data-YC-15(G)" xfId="2432" xr:uid="{00000000-0005-0000-0000-00007F090000}"/>
    <cellStyle name="_PIK Raw Data  from 17~21 Mar,2012_Book1" xfId="2433" xr:uid="{00000000-0005-0000-0000-000080090000}"/>
    <cellStyle name="_PIK Raw Data  from 17~21 Mar,2012_Copy of SK Raw data of SKB in Yc-6-(C) 26~31Jan '20131" xfId="2434" xr:uid="{00000000-0005-0000-0000-000081090000}"/>
    <cellStyle name="_PIK Raw Data  from 17~21 Mar,2012_Flow Chart YC-8(C) Before1" xfId="2435" xr:uid="{00000000-0005-0000-0000-000082090000}"/>
    <cellStyle name="_PIK Raw Data  from 17~21 Mar,2012_MFC(Yc 10C)" xfId="2436" xr:uid="{00000000-0005-0000-0000-000083090000}"/>
    <cellStyle name="_PIK Raw Data  from 17~21 Mar,2012_OCT Graph A1" xfId="2437" xr:uid="{00000000-0005-0000-0000-000084090000}"/>
    <cellStyle name="_PIK Raw Data  from 17~21 Mar,2012_peroto Chart YC-8" xfId="2438" xr:uid="{00000000-0005-0000-0000-000085090000}"/>
    <cellStyle name="_PIK Raw Data  from 17~21 Mar,2012_SK Raw data of SKB in Yc-8-(J) 01~05 Dec'2012" xfId="2439" xr:uid="{00000000-0005-0000-0000-000086090000}"/>
    <cellStyle name="_PIK Raw Data  from 17~21 Mar,2012_SK Raw data of SKB in Yc-8-(J) 01~05 Dec'2012_Base line Data-YC-15(G)" xfId="2440" xr:uid="{00000000-0005-0000-0000-000087090000}"/>
    <cellStyle name="_PIK Raw Data  from 17~21 Mar,2012_SK Raw data of SKB in Yc-8-(J) 01~05 Dec'2012_Book1" xfId="2441" xr:uid="{00000000-0005-0000-0000-000088090000}"/>
    <cellStyle name="_PIK Raw Data  from 17~21 Mar,2012_SK Raw data of SKB in Yc-8-(J) 01~05 Dec'2012_Style Changeover Data Information-" xfId="2442" xr:uid="{00000000-0005-0000-0000-000089090000}"/>
    <cellStyle name="_PIK Raw Data  from 17~21 Mar,2012_SK Raw data of SKB in Yc-8-(J) 01~05 Dec'2012_Style Changeover Data Information-YCL13C" xfId="2443" xr:uid="{00000000-0005-0000-0000-00008A090000}"/>
    <cellStyle name="_PIK Raw Data  from 17~21 Mar,2012_SKB RAW DATA" xfId="2444" xr:uid="{00000000-0005-0000-0000-00008B090000}"/>
    <cellStyle name="_PIK Raw Data  from 17~21 Mar,2012_SKB YC-8(J)" xfId="2445" xr:uid="{00000000-0005-0000-0000-00008C090000}"/>
    <cellStyle name="_PIK Raw Data  from 17~21 Mar,2012_SKB(Sewing Kaizen - YCL 14 (A)" xfId="2446" xr:uid="{00000000-0005-0000-0000-00008D090000}"/>
    <cellStyle name="_PIK Raw Data  from 17~21 Mar,2012_SQDC Board format (revised)-2013" xfId="2447" xr:uid="{00000000-0005-0000-0000-00008E090000}"/>
    <cellStyle name="_PIK Raw Data  from 17~21 Mar,2012_Style Change Over YC-6 E 23~227 Mar, 2013" xfId="2448" xr:uid="{00000000-0005-0000-0000-00008F090000}"/>
    <cellStyle name="_PIK Raw Data  from 17~21 Mar,2012_Style Change Over YC-7H  16~21 Aprl, 2013" xfId="2449" xr:uid="{00000000-0005-0000-0000-000090090000}"/>
    <cellStyle name="_PIK Raw Data  from 17~21 Mar,2012_Style Changeover Data Information-" xfId="2450" xr:uid="{00000000-0005-0000-0000-000091090000}"/>
    <cellStyle name="_PIK Raw Data  from 17~21 Mar,2012_Xl0000034" xfId="2451" xr:uid="{00000000-0005-0000-0000-000092090000}"/>
    <cellStyle name="_Production Report October-2012" xfId="2452" xr:uid="{00000000-0005-0000-0000-000093090000}"/>
    <cellStyle name="_Ra23" xfId="2453" xr:uid="{00000000-0005-0000-0000-000094090000}"/>
    <cellStyle name="_Raw" xfId="2454" xr:uid="{00000000-0005-0000-0000-000095090000}"/>
    <cellStyle name="_Raw 2" xfId="2455" xr:uid="{00000000-0005-0000-0000-000096090000}"/>
    <cellStyle name="_Raw Data Of Change Over YCL - 8C(8-1 to 13-1) Cerrent" xfId="2456" xr:uid="{00000000-0005-0000-0000-000097090000}"/>
    <cellStyle name="_Raw." xfId="2457" xr:uid="{00000000-0005-0000-0000-000098090000}"/>
    <cellStyle name="_Raw. 2" xfId="2458" xr:uid="{00000000-0005-0000-0000-000099090000}"/>
    <cellStyle name="_Raw_1" xfId="2459" xr:uid="{00000000-0005-0000-0000-00009A090000}"/>
    <cellStyle name="_Raw_1 2" xfId="2460" xr:uid="{00000000-0005-0000-0000-00009B090000}"/>
    <cellStyle name="_Raw_Daily Production ReportApril.2" xfId="2461" xr:uid="{00000000-0005-0000-0000-00009C090000}"/>
    <cellStyle name="_Raw_Tsl Daily Production Report Nov '127." xfId="2462" xr:uid="{00000000-0005-0000-0000-00009D090000}"/>
    <cellStyle name="_Raw-11" xfId="2463" xr:uid="{00000000-0005-0000-0000-00009E090000}"/>
    <cellStyle name="_Raw-11 2" xfId="2464" xr:uid="{00000000-0005-0000-0000-00009F090000}"/>
    <cellStyle name="_Raw-2010" xfId="2465" xr:uid="{00000000-0005-0000-0000-0000A0090000}"/>
    <cellStyle name="_Raw-2010 2" xfId="2466" xr:uid="{00000000-0005-0000-0000-0000A1090000}"/>
    <cellStyle name="_Raw-2010_Daily Production ReportApril.2" xfId="2467" xr:uid="{00000000-0005-0000-0000-0000A2090000}"/>
    <cellStyle name="_Raw-2010_Tsl Daily Production Report Nov '127." xfId="2468" xr:uid="{00000000-0005-0000-0000-0000A3090000}"/>
    <cellStyle name="_Raw3" xfId="2469" xr:uid="{00000000-0005-0000-0000-0000A4090000}"/>
    <cellStyle name="_Raw4" xfId="2470" xr:uid="{00000000-0005-0000-0000-0000A5090000}"/>
    <cellStyle name="_Raw-5" xfId="2471" xr:uid="{00000000-0005-0000-0000-0000A6090000}"/>
    <cellStyle name="_Raw-5 2" xfId="2472" xr:uid="{00000000-0005-0000-0000-0000A7090000}"/>
    <cellStyle name="_Raw6" xfId="2473" xr:uid="{00000000-0005-0000-0000-0000A8090000}"/>
    <cellStyle name="_Raw7" xfId="2474" xr:uid="{00000000-0005-0000-0000-0000A9090000}"/>
    <cellStyle name="_S3022703" xfId="2475" xr:uid="{00000000-0005-0000-0000-0000AA090000}"/>
    <cellStyle name="_Sewing Kaizen" xfId="2476" xr:uid="{00000000-0005-0000-0000-0000AB090000}"/>
    <cellStyle name="_Sewing Kaizen_3.Style Change Over YCL- 8-(E+M) 17-24 July'2011" xfId="2477" xr:uid="{00000000-0005-0000-0000-0000AC090000}"/>
    <cellStyle name="_Sewing Kaizen_4.Style Change Over YCL- 8-(E+M) 13~17 Aug, 2011" xfId="2478" xr:uid="{00000000-0005-0000-0000-0000AD090000}"/>
    <cellStyle name="_Sewing Kaizen_4.Style Change Over YCL- 8-(E+M) 13~17 Aug, 2011_After 5's" xfId="2479" xr:uid="{00000000-0005-0000-0000-0000AE090000}"/>
    <cellStyle name="_Sewing Kaizen_4.Style Change Over YCL- 8-(E+M) 13~17 Aug, 2011_Base Line Data YC-8(C)" xfId="2480" xr:uid="{00000000-0005-0000-0000-0000AF090000}"/>
    <cellStyle name="_Sewing Kaizen_4.Style Change Over YCL- 8-(E+M) 13~17 Aug, 2011_Base line Data-YC-15(G)" xfId="2481" xr:uid="{00000000-0005-0000-0000-0000B0090000}"/>
    <cellStyle name="_Sewing Kaizen_4.Style Change Over YCL- 8-(E+M) 13~17 Aug, 2011_Book1" xfId="2482" xr:uid="{00000000-0005-0000-0000-0000B1090000}"/>
    <cellStyle name="_Sewing Kaizen_4.Style Change Over YCL- 8-(E+M) 13~17 Aug, 2011_Copy of SK Raw data of SKB in Yc-6-(C) 26~31Jan '20131" xfId="2483" xr:uid="{00000000-0005-0000-0000-0000B2090000}"/>
    <cellStyle name="_Sewing Kaizen_4.Style Change Over YCL- 8-(E+M) 13~17 Aug, 2011_Flow Chart YC-8(C) Before1" xfId="2484" xr:uid="{00000000-0005-0000-0000-0000B3090000}"/>
    <cellStyle name="_Sewing Kaizen_4.Style Change Over YCL- 8-(E+M) 13~17 Aug, 2011_MFC(Yc 10C)" xfId="2485" xr:uid="{00000000-0005-0000-0000-0000B4090000}"/>
    <cellStyle name="_Sewing Kaizen_4.Style Change Over YCL- 8-(E+M) 13~17 Aug, 2011_OCT Graph A1" xfId="2486" xr:uid="{00000000-0005-0000-0000-0000B5090000}"/>
    <cellStyle name="_Sewing Kaizen_4.Style Change Over YCL- 8-(E+M) 13~17 Aug, 2011_peroto Chart YC-8" xfId="2487" xr:uid="{00000000-0005-0000-0000-0000B6090000}"/>
    <cellStyle name="_Sewing Kaizen_4.Style Change Over YCL- 8-(E+M) 13~17 Aug, 2011_SK Raw data of SKB in Yc-8-(J) 01~05 Dec'2012" xfId="2488" xr:uid="{00000000-0005-0000-0000-0000B7090000}"/>
    <cellStyle name="_Sewing Kaizen_4.Style Change Over YCL- 8-(E+M) 13~17 Aug, 2011_SK Raw data of SKB in Yc-8-(J) 01~05 Dec'2012_Base line Data-YC-15(G)" xfId="2489" xr:uid="{00000000-0005-0000-0000-0000B8090000}"/>
    <cellStyle name="_Sewing Kaizen_4.Style Change Over YCL- 8-(E+M) 13~17 Aug, 2011_SK Raw data of SKB in Yc-8-(J) 01~05 Dec'2012_Book1" xfId="2490" xr:uid="{00000000-0005-0000-0000-0000B9090000}"/>
    <cellStyle name="_Sewing Kaizen_4.Style Change Over YCL- 8-(E+M) 13~17 Aug, 2011_SK Raw data of SKB in Yc-8-(J) 01~05 Dec'2012_Style Changeover Data Information-" xfId="2491" xr:uid="{00000000-0005-0000-0000-0000BA090000}"/>
    <cellStyle name="_Sewing Kaizen_4.Style Change Over YCL- 8-(E+M) 13~17 Aug, 2011_SK Raw data of SKB in Yc-8-(J) 01~05 Dec'2012_Style Changeover Data Information-YCL13C" xfId="2492" xr:uid="{00000000-0005-0000-0000-0000BB090000}"/>
    <cellStyle name="_Sewing Kaizen_4.Style Change Over YCL- 8-(E+M) 13~17 Aug, 2011_SKB RAW DATA" xfId="2493" xr:uid="{00000000-0005-0000-0000-0000BC090000}"/>
    <cellStyle name="_Sewing Kaizen_4.Style Change Over YCL- 8-(E+M) 13~17 Aug, 2011_SKB YC-8(J)" xfId="2494" xr:uid="{00000000-0005-0000-0000-0000BD090000}"/>
    <cellStyle name="_Sewing Kaizen_4.Style Change Over YCL- 8-(E+M) 13~17 Aug, 2011_SKB(Sewing Kaizen - YCL 14 (A)" xfId="2495" xr:uid="{00000000-0005-0000-0000-0000BE090000}"/>
    <cellStyle name="_Sewing Kaizen_4.Style Change Over YCL- 8-(E+M) 13~17 Aug, 2011_SQDC Board format (revised)-2013" xfId="2496" xr:uid="{00000000-0005-0000-0000-0000BF090000}"/>
    <cellStyle name="_Sewing Kaizen_4.Style Change Over YCL- 8-(E+M) 13~17 Aug, 2011_Style Change Over YC-6 E 23~227 Mar, 2013" xfId="2497" xr:uid="{00000000-0005-0000-0000-0000C0090000}"/>
    <cellStyle name="_Sewing Kaizen_4.Style Change Over YCL- 8-(E+M) 13~17 Aug, 2011_Style Change Over YC-7H  16~21 Aprl, 2013" xfId="2498" xr:uid="{00000000-0005-0000-0000-0000C1090000}"/>
    <cellStyle name="_Sewing Kaizen_4.Style Change Over YCL- 8-(E+M) 13~17 Aug, 2011_Style Changeover Data Information-" xfId="2499" xr:uid="{00000000-0005-0000-0000-0000C2090000}"/>
    <cellStyle name="_Sewing Kaizen_4.Style Change Over YCL- 8-(E+M) 13~17 Aug, 2011_Xl0000034" xfId="2500" xr:uid="{00000000-0005-0000-0000-0000C3090000}"/>
    <cellStyle name="_Sewing Kaizen_After 5's" xfId="2501" xr:uid="{00000000-0005-0000-0000-0000C4090000}"/>
    <cellStyle name="_Sewing Kaizen_Base Line Data YC-8(C)" xfId="2502" xr:uid="{00000000-0005-0000-0000-0000C5090000}"/>
    <cellStyle name="_Sewing Kaizen_Base line Data-YC-15(G)" xfId="2503" xr:uid="{00000000-0005-0000-0000-0000C6090000}"/>
    <cellStyle name="_Sewing Kaizen_Before 5's YC-8(C)" xfId="2504" xr:uid="{00000000-0005-0000-0000-0000C7090000}"/>
    <cellStyle name="_Sewing Kaizen_Book1" xfId="2505" xr:uid="{00000000-0005-0000-0000-0000C8090000}"/>
    <cellStyle name="_Sewing Kaizen_Copy of SK Raw data of SKB in Yc-6-(C) 26~31Jan '20131" xfId="2506" xr:uid="{00000000-0005-0000-0000-0000C9090000}"/>
    <cellStyle name="_Sewing Kaizen_Flow Chart BM Groucho Jkt-YCL-8E" xfId="2507" xr:uid="{00000000-0005-0000-0000-0000CA090000}"/>
    <cellStyle name="_Sewing Kaizen_Flow Chart YC-8(C) Before1" xfId="2508" xr:uid="{00000000-0005-0000-0000-0000CB090000}"/>
    <cellStyle name="_Sewing Kaizen_Flow Chart YCL - 8-(E+M)1" xfId="2509" xr:uid="{00000000-0005-0000-0000-0000CC090000}"/>
    <cellStyle name="_Sewing Kaizen_Flow-Ycl-8-E+Mod" xfId="2510" xr:uid="{00000000-0005-0000-0000-0000CD090000}"/>
    <cellStyle name="_Sewing Kaizen_Graph-6B3" xfId="2511" xr:uid="{00000000-0005-0000-0000-0000CE090000}"/>
    <cellStyle name="_Sewing Kaizen_Graph-6B4" xfId="2512" xr:uid="{00000000-0005-0000-0000-0000CF090000}"/>
    <cellStyle name="_Sewing Kaizen_Graph-6B5" xfId="2513" xr:uid="{00000000-0005-0000-0000-0000D0090000}"/>
    <cellStyle name="_Sewing Kaizen_Graph-8I" xfId="2514" xr:uid="{00000000-0005-0000-0000-0000D1090000}"/>
    <cellStyle name="_Sewing Kaizen_Ksl-05H Line Style Changeover Dt#20~26 Nov'  2012" xfId="2515" xr:uid="{00000000-0005-0000-0000-0000D2090000}"/>
    <cellStyle name="_Sewing Kaizen_Ksl-05H Line Style Changeover Dt#20~26 Nov'  2012_Participant List &amp; data for SKB  Sector-7 Ksl_4 Mini-3 Duration_06~10July 2013" xfId="2516" xr:uid="{00000000-0005-0000-0000-0000D3090000}"/>
    <cellStyle name="_Sewing Kaizen_Ksl-05H Line Style Changeover Dt#20~26 Nov'  2012_Participant List &amp; data for SKB  Sector-7 Ksl_6-F Duration_ 22~27 'June,2013" xfId="2517" xr:uid="{00000000-0005-0000-0000-0000D4090000}"/>
    <cellStyle name="_Sewing Kaizen_Ksl-6 Mini 1style Changeover Dt# 15th ~21th April' 20131" xfId="2518" xr:uid="{00000000-0005-0000-0000-0000D5090000}"/>
    <cellStyle name="_Sewing Kaizen_Ksl-6 Mini 1style Changeover Dt# 15th ~21th April' 20131_Participant List &amp; data for SKB  Sector-7 Ksl_4 Mini-3 Duration_06~10July 2013" xfId="2519" xr:uid="{00000000-0005-0000-0000-0000D6090000}"/>
    <cellStyle name="_Sewing Kaizen_MFC BEFORE" xfId="2520" xr:uid="{00000000-0005-0000-0000-0000D7090000}"/>
    <cellStyle name="_Sewing Kaizen_MFC(Yc 10C)" xfId="2521" xr:uid="{00000000-0005-0000-0000-0000D8090000}"/>
    <cellStyle name="_Sewing Kaizen_OCT Graph A1" xfId="2522" xr:uid="{00000000-0005-0000-0000-0000D9090000}"/>
    <cellStyle name="_Sewing Kaizen_OCT-J" xfId="2523" xr:uid="{00000000-0005-0000-0000-0000DA090000}"/>
    <cellStyle name="_Sewing Kaizen_OCT-J_After 5's" xfId="2524" xr:uid="{00000000-0005-0000-0000-0000DB090000}"/>
    <cellStyle name="_Sewing Kaizen_OCT-J_Base Line Data YC-8(C)" xfId="2525" xr:uid="{00000000-0005-0000-0000-0000DC090000}"/>
    <cellStyle name="_Sewing Kaizen_OCT-J_Base line Data-YC-15(G)" xfId="2526" xr:uid="{00000000-0005-0000-0000-0000DD090000}"/>
    <cellStyle name="_Sewing Kaizen_OCT-J_Book1" xfId="2527" xr:uid="{00000000-0005-0000-0000-0000DE090000}"/>
    <cellStyle name="_Sewing Kaizen_OCT-J_Copy of SK Raw data of SKB in Yc-6-(C) 26~31Jan '20131" xfId="2528" xr:uid="{00000000-0005-0000-0000-0000DF090000}"/>
    <cellStyle name="_Sewing Kaizen_OCT-J_Critical poin" xfId="2529" xr:uid="{00000000-0005-0000-0000-0000E0090000}"/>
    <cellStyle name="_Sewing Kaizen_OCT-J_Critical poin1" xfId="2530" xr:uid="{00000000-0005-0000-0000-0000E1090000}"/>
    <cellStyle name="_Sewing Kaizen_OCT-J_Flow Chart YC-8(C) Before1" xfId="2531" xr:uid="{00000000-0005-0000-0000-0000E2090000}"/>
    <cellStyle name="_Sewing Kaizen_OCT-J_OCT Graph A1" xfId="2532" xr:uid="{00000000-0005-0000-0000-0000E3090000}"/>
    <cellStyle name="_Sewing Kaizen_OCT-J_peroto Chart YC-8" xfId="2533" xr:uid="{00000000-0005-0000-0000-0000E4090000}"/>
    <cellStyle name="_Sewing Kaizen_OCT-J_SK Raw data of SKB in Yc-8-(J) 01~05 Dec'2012" xfId="2534" xr:uid="{00000000-0005-0000-0000-0000E5090000}"/>
    <cellStyle name="_Sewing Kaizen_OCT-J_SK Raw data of SKB in Yc-8-(J) 01~05 Dec'2012_Base line Data-YC-15(G)" xfId="2535" xr:uid="{00000000-0005-0000-0000-0000E6090000}"/>
    <cellStyle name="_Sewing Kaizen_OCT-J_SK Raw data of SKB in Yc-8-(J) 01~05 Dec'2012_Book1" xfId="2536" xr:uid="{00000000-0005-0000-0000-0000E7090000}"/>
    <cellStyle name="_Sewing Kaizen_OCT-J_SK Raw data of SKB in Yc-8-(J) 01~05 Dec'2012_Style Changeover Data Information-" xfId="2537" xr:uid="{00000000-0005-0000-0000-0000E8090000}"/>
    <cellStyle name="_Sewing Kaizen_OCT-J_SK Raw data of SKB in Yc-8-(J) 01~05 Dec'2012_Style Changeover Data Information-YCL13C" xfId="2538" xr:uid="{00000000-0005-0000-0000-0000E9090000}"/>
    <cellStyle name="_Sewing Kaizen_OCT-J_SKB RAW DATA" xfId="2539" xr:uid="{00000000-0005-0000-0000-0000EA090000}"/>
    <cellStyle name="_Sewing Kaizen_OCT-J_SKB YC-8(J)" xfId="2540" xr:uid="{00000000-0005-0000-0000-0000EB090000}"/>
    <cellStyle name="_Sewing Kaizen_OCT-J_SKB(Sewing Kaizen - YCL 14 (A)" xfId="2541" xr:uid="{00000000-0005-0000-0000-0000EC090000}"/>
    <cellStyle name="_Sewing Kaizen_OCT-J_SQDC Board format (revised)-2013" xfId="2542" xr:uid="{00000000-0005-0000-0000-0000ED090000}"/>
    <cellStyle name="_Sewing Kaizen_OCT-J_Style Change Over YC-7H  16~21 Aprl, 2013" xfId="2543" xr:uid="{00000000-0005-0000-0000-0000EE090000}"/>
    <cellStyle name="_Sewing Kaizen_OCT-J_Style Change Over YC-7H  16~21 Aprl, 2013_Base line Data-YC-15(G)" xfId="2544" xr:uid="{00000000-0005-0000-0000-0000EF090000}"/>
    <cellStyle name="_Sewing Kaizen_OCT-J_Style Change Over YC-7H  16~21 Aprl, 2013_Book1" xfId="2545" xr:uid="{00000000-0005-0000-0000-0000F0090000}"/>
    <cellStyle name="_Sewing Kaizen_OCT-J_Style Change Over YC-7H  16~21 Aprl, 2013_Style Changeover Data Information-" xfId="2546" xr:uid="{00000000-0005-0000-0000-0000F1090000}"/>
    <cellStyle name="_Sewing Kaizen_OCT-J_Style Change Over YC-7H  16~21 Aprl, 2013_Style Changeover Data Information-YCL13C" xfId="2547" xr:uid="{00000000-0005-0000-0000-0000F2090000}"/>
    <cellStyle name="_Sewing Kaizen_OCT-J_Style Change Over YC-9 (I)  28~02 May, 2013" xfId="2548" xr:uid="{00000000-0005-0000-0000-0000F3090000}"/>
    <cellStyle name="_Sewing Kaizen_OCT-J_Style Change Over YC-9 (I)  28~02 May, 2013_Base line Data-YC-15(G)" xfId="2549" xr:uid="{00000000-0005-0000-0000-0000F4090000}"/>
    <cellStyle name="_Sewing Kaizen_OCT-J_Style Change Over YC-9 (I)  28~02 May, 2013_Book1" xfId="2550" xr:uid="{00000000-0005-0000-0000-0000F5090000}"/>
    <cellStyle name="_Sewing Kaizen_OCT-J_Style Change Over YC-9 (I)  28~02 May, 2013_Style Changeover Data Information-" xfId="2551" xr:uid="{00000000-0005-0000-0000-0000F6090000}"/>
    <cellStyle name="_Sewing Kaizen_OCT-J_Style Change Over YC-9 (I)  28~02 May, 2013_Style Changeover Data Information-YCL13C" xfId="2552" xr:uid="{00000000-0005-0000-0000-0000F7090000}"/>
    <cellStyle name="_Sewing Kaizen_OCT-J_Style Changeover Data Information-" xfId="2553" xr:uid="{00000000-0005-0000-0000-0000F8090000}"/>
    <cellStyle name="_Sewing Kaizen_OCT-J_Xl0000034" xfId="2554" xr:uid="{00000000-0005-0000-0000-0000F9090000}"/>
    <cellStyle name="_Sewing Kaizen_Opt training" xfId="2555" xr:uid="{00000000-0005-0000-0000-0000FA090000}"/>
    <cellStyle name="_Sewing Kaizen_Participant List &amp; data for SKB  Sector-7 Ksl_6 D Duration_ 02 ~06 Feb,20131" xfId="2556" xr:uid="{00000000-0005-0000-0000-0000FB090000}"/>
    <cellStyle name="_Sewing Kaizen_Participant List &amp; data for SKB  Sector-7 Ksl_6 E Duration_ 21 ~25 April,2013" xfId="2557" xr:uid="{00000000-0005-0000-0000-0000FC090000}"/>
    <cellStyle name="_Sewing Kaizen_Participant List &amp; data for SKB  Sector-7 Ksl_6 Mini-1 Duration_23 ~27 Feb,20131" xfId="2558" xr:uid="{00000000-0005-0000-0000-0000FD090000}"/>
    <cellStyle name="_Sewing Kaizen_Participant List &amp; data for SKB  Sector-7 Ksl_6 Mini-1 Duration_29th April ~05th MAY,20131" xfId="2559" xr:uid="{00000000-0005-0000-0000-0000FE090000}"/>
    <cellStyle name="_Sewing Kaizen_Participant List &amp; data for SKB  Sector-7 Ksl_6 Mini-4 Duration_2 ~06th March,2013" xfId="2560" xr:uid="{00000000-0005-0000-0000-0000FF090000}"/>
    <cellStyle name="_Sewing Kaizen_Participants list &amp; data for (Ksl_6Mini 1) 15th ~ 22th April '2013" xfId="2561" xr:uid="{00000000-0005-0000-0000-0000000A0000}"/>
    <cellStyle name="_Sewing Kaizen_Participants list &amp; data for SKB- (Ksl_5_G. Sector 7) 16~20 June'2012" xfId="2562" xr:uid="{00000000-0005-0000-0000-0000010A0000}"/>
    <cellStyle name="_Sewing Kaizen_Participants list &amp; data for SKB- (Ksl_6_A+B1 Line Sector 7)  Jan12 ~16,2013" xfId="2563" xr:uid="{00000000-0005-0000-0000-0000020A0000}"/>
    <cellStyle name="_Sewing Kaizen_Participants list &amp; data for SKB- (Ksl_6_A+B1 Line Sector 7)  Jan12 ~16,2013_Participant List &amp; data for SKB  Sector-7 Ksl_4 Mini-3 Duration_06~10July 2013" xfId="2564" xr:uid="{00000000-0005-0000-0000-0000030A0000}"/>
    <cellStyle name="_Sewing Kaizen_Participants list &amp; data for SKB- (Ksl_6_A+B1 Line Sector 7)  Jan12 ~16,2013_Participant List &amp; data for SKB  Sector-7 Ksl_6-F Duration_ 22~27 'June,2013" xfId="2565" xr:uid="{00000000-0005-0000-0000-0000040A0000}"/>
    <cellStyle name="_Sewing Kaizen_participants list &amp; data for SKB- (Ksl_6_A+B1 Line Sector 7)  Jan12 ~16,20131" xfId="2566" xr:uid="{00000000-0005-0000-0000-0000050A0000}"/>
    <cellStyle name="_Sewing Kaizen_participants list &amp; data for SKB- (Ksl_6_A+B1 Line Sector 7)  Jan12 ~16,20131_Participant List &amp; data for SKB  Sector-7 Ksl_4 Mini-3 Duration_06~10July 2013" xfId="2567" xr:uid="{00000000-0005-0000-0000-0000060A0000}"/>
    <cellStyle name="_Sewing Kaizen_participants list &amp; data for SKB- (Ksl_6_A+B1 Line Sector 7)  Jan12 ~16,20131_Participant List &amp; data for SKB  Sector-7 Ksl_6-F Duration_ 22~27 'June,2013" xfId="2568" xr:uid="{00000000-0005-0000-0000-0000070A0000}"/>
    <cellStyle name="_Sewing Kaizen_participants list &amp; data for SKB- (Ksl_6_D Line Sector 7)  Fab 02~06,2013" xfId="2569" xr:uid="{00000000-0005-0000-0000-0000080A0000}"/>
    <cellStyle name="_Sewing Kaizen_participants list &amp; data for SKB- (Ksl_6_D Line Sector 7)  Fab 02~06,2013_Participant List &amp; data for SKB  Sector-7 Ksl_4 Mini-3 Duration_06~10July 2013" xfId="2570" xr:uid="{00000000-0005-0000-0000-0000090A0000}"/>
    <cellStyle name="_Sewing Kaizen_peroto Chart YC-8" xfId="2571" xr:uid="{00000000-0005-0000-0000-00000A0A0000}"/>
    <cellStyle name="_Sewing Kaizen_Raw data of Style Change Over YCL - 8-(E+M) 17-24 July'2011" xfId="2572" xr:uid="{00000000-0005-0000-0000-00000B0A0000}"/>
    <cellStyle name="_Sewing Kaizen_Raw Data of Style Change Over YCL - 8(J) 30-1 to 03-2  Cerrent" xfId="2573" xr:uid="{00000000-0005-0000-0000-00000C0A0000}"/>
    <cellStyle name="_Sewing Kaizen_Raw Data of Style Change Over YCL - 8(J) 30-1 to 03-2  Cerrent_After 5's" xfId="2574" xr:uid="{00000000-0005-0000-0000-00000D0A0000}"/>
    <cellStyle name="_Sewing Kaizen_Raw Data of Style Change Over YCL - 8(J) 30-1 to 03-2  Cerrent_Base Line Data YC-8(C)" xfId="2575" xr:uid="{00000000-0005-0000-0000-00000E0A0000}"/>
    <cellStyle name="_Sewing Kaizen_Raw Data of Style Change Over YCL - 8(J) 30-1 to 03-2  Cerrent_Base line Data-YC-15(G)" xfId="2576" xr:uid="{00000000-0005-0000-0000-00000F0A0000}"/>
    <cellStyle name="_Sewing Kaizen_Raw Data of Style Change Over YCL - 8(J) 30-1 to 03-2  Cerrent_Book1" xfId="2577" xr:uid="{00000000-0005-0000-0000-0000100A0000}"/>
    <cellStyle name="_Sewing Kaizen_Raw Data of Style Change Over YCL - 8(J) 30-1 to 03-2  Cerrent_Copy of SK Raw data of SKB in Yc-6-(C) 26~31Jan '20131" xfId="2578" xr:uid="{00000000-0005-0000-0000-0000110A0000}"/>
    <cellStyle name="_Sewing Kaizen_Raw Data of Style Change Over YCL - 8(J) 30-1 to 03-2  Cerrent_Flow Chart YC-8(C) Before1" xfId="2579" xr:uid="{00000000-0005-0000-0000-0000120A0000}"/>
    <cellStyle name="_Sewing Kaizen_Raw Data of Style Change Over YCL - 8(J) 30-1 to 03-2  Cerrent_MFC(Yc 10C)" xfId="2580" xr:uid="{00000000-0005-0000-0000-0000130A0000}"/>
    <cellStyle name="_Sewing Kaizen_Raw Data of Style Change Over YCL - 8(J) 30-1 to 03-2  Cerrent_OCT Graph A1" xfId="2581" xr:uid="{00000000-0005-0000-0000-0000140A0000}"/>
    <cellStyle name="_Sewing Kaizen_Raw Data of Style Change Over YCL - 8(J) 30-1 to 03-2  Cerrent_peroto Chart YC-8" xfId="2582" xr:uid="{00000000-0005-0000-0000-0000150A0000}"/>
    <cellStyle name="_Sewing Kaizen_Raw Data of Style Change Over YCL - 8(J) 30-1 to 03-2  Cerrent_SK Raw data of SKB in Yc-8-(J) 01~05 Dec'2012" xfId="2583" xr:uid="{00000000-0005-0000-0000-0000160A0000}"/>
    <cellStyle name="_Sewing Kaizen_Raw Data of Style Change Over YCL - 8(J) 30-1 to 03-2  Cerrent_SK Raw data of SKB in Yc-8-(J) 01~05 Dec'2012_Base line Data-YC-15(G)" xfId="2584" xr:uid="{00000000-0005-0000-0000-0000170A0000}"/>
    <cellStyle name="_Sewing Kaizen_Raw Data of Style Change Over YCL - 8(J) 30-1 to 03-2  Cerrent_SK Raw data of SKB in Yc-8-(J) 01~05 Dec'2012_Book1" xfId="2585" xr:uid="{00000000-0005-0000-0000-0000180A0000}"/>
    <cellStyle name="_Sewing Kaizen_Raw Data of Style Change Over YCL - 8(J) 30-1 to 03-2  Cerrent_SK Raw data of SKB in Yc-8-(J) 01~05 Dec'2012_Style Changeover Data Information-" xfId="2586" xr:uid="{00000000-0005-0000-0000-0000190A0000}"/>
    <cellStyle name="_Sewing Kaizen_Raw Data of Style Change Over YCL - 8(J) 30-1 to 03-2  Cerrent_SK Raw data of SKB in Yc-8-(J) 01~05 Dec'2012_Style Changeover Data Information-YCL13C" xfId="2587" xr:uid="{00000000-0005-0000-0000-00001A0A0000}"/>
    <cellStyle name="_Sewing Kaizen_Raw Data of Style Change Over YCL - 8(J) 30-1 to 03-2  Cerrent_SKB RAW DATA" xfId="2588" xr:uid="{00000000-0005-0000-0000-00001B0A0000}"/>
    <cellStyle name="_Sewing Kaizen_Raw Data of Style Change Over YCL - 8(J) 30-1 to 03-2  Cerrent_SKB YC-8(J)" xfId="2589" xr:uid="{00000000-0005-0000-0000-00001C0A0000}"/>
    <cellStyle name="_Sewing Kaizen_Raw Data of Style Change Over YCL - 8(J) 30-1 to 03-2  Cerrent_SKB(Sewing Kaizen - YCL 14 (A)" xfId="2590" xr:uid="{00000000-0005-0000-0000-00001D0A0000}"/>
    <cellStyle name="_Sewing Kaizen_Raw Data of Style Change Over YCL - 8(J) 30-1 to 03-2  Cerrent_SQDC Board format (revised)-2013" xfId="2591" xr:uid="{00000000-0005-0000-0000-00001E0A0000}"/>
    <cellStyle name="_Sewing Kaizen_Raw Data of Style Change Over YCL - 8(J) 30-1 to 03-2  Cerrent_Style Change Over YC-6 E 23~227 Mar, 2013" xfId="2592" xr:uid="{00000000-0005-0000-0000-00001F0A0000}"/>
    <cellStyle name="_Sewing Kaizen_Raw Data of Style Change Over YCL - 8(J) 30-1 to 03-2  Cerrent_Style Change Over YC-7H  16~21 Aprl, 2013" xfId="2593" xr:uid="{00000000-0005-0000-0000-0000200A0000}"/>
    <cellStyle name="_Sewing Kaizen_Raw Data of Style Change Over YCL - 8(J) 30-1 to 03-2  Cerrent_Style Changeover Data Information-" xfId="2594" xr:uid="{00000000-0005-0000-0000-0000210A0000}"/>
    <cellStyle name="_Sewing Kaizen_Raw Data of Style Change Over YCL - 8(J) 30-1 to 03-2  Cerrent_Xl0000034" xfId="2595" xr:uid="{00000000-0005-0000-0000-0000220A0000}"/>
    <cellStyle name="_Sewing Kaizen_Raw data Ycl-8-F 1~4 Apr,2012" xfId="2596" xr:uid="{00000000-0005-0000-0000-0000230A0000}"/>
    <cellStyle name="_Sewing Kaizen_SK Raw data of SKB in Yc-8-(J) 01~05 Dec'2012" xfId="2597" xr:uid="{00000000-0005-0000-0000-0000240A0000}"/>
    <cellStyle name="_Sewing Kaizen_SK Raw data of SKB in Yc-8-(J) 01~05 Dec'2012_Base line Data-YC-15(G)" xfId="2598" xr:uid="{00000000-0005-0000-0000-0000250A0000}"/>
    <cellStyle name="_Sewing Kaizen_SK Raw data of SKB in Yc-8-(J) 01~05 Dec'2012_Book1" xfId="2599" xr:uid="{00000000-0005-0000-0000-0000260A0000}"/>
    <cellStyle name="_Sewing Kaizen_SK Raw data of SKB in Yc-8-(J) 01~05 Dec'2012_Style Changeover Data Information-" xfId="2600" xr:uid="{00000000-0005-0000-0000-0000270A0000}"/>
    <cellStyle name="_Sewing Kaizen_SK Raw data of SKB in Yc-8-(J) 01~05 Dec'2012_Style Changeover Data Information-YCL13C" xfId="2601" xr:uid="{00000000-0005-0000-0000-0000280A0000}"/>
    <cellStyle name="_Sewing Kaizen_SK Raw data of SKB in Yc-8-I+G2 28Apr~3May'2012" xfId="2602" xr:uid="{00000000-0005-0000-0000-0000290A0000}"/>
    <cellStyle name="_Sewing Kaizen_SKB- (Ksl_6_E  Graph &amp; Flow Chart" xfId="2603" xr:uid="{00000000-0005-0000-0000-00002A0A0000}"/>
    <cellStyle name="_Sewing Kaizen_SKB- (Ksl_6_Mini-1Duration _12~16 May,2013)" xfId="2604" xr:uid="{00000000-0005-0000-0000-00002B0A0000}"/>
    <cellStyle name="_Sewing Kaizen_SKB YC-8(J)" xfId="2605" xr:uid="{00000000-0005-0000-0000-00002C0A0000}"/>
    <cellStyle name="_Sewing Kaizen_SKB(Sewing Kaizen - YCL 14 (A)" xfId="2606" xr:uid="{00000000-0005-0000-0000-00002D0A0000}"/>
    <cellStyle name="_Sewing Kaizen_SQDC Board format (revised)-2013" xfId="2607" xr:uid="{00000000-0005-0000-0000-00002E0A0000}"/>
    <cellStyle name="_Sewing Kaizen_Style Change Over YC-6 E 23~227 Mar, 2013" xfId="2608" xr:uid="{00000000-0005-0000-0000-00002F0A0000}"/>
    <cellStyle name="_Sewing Kaizen_Style Change Over YC-7H  16~21 Aprl, 2013" xfId="2609" xr:uid="{00000000-0005-0000-0000-0000300A0000}"/>
    <cellStyle name="_Sewing Kaizen_Style Change Over YC-8J 11~16 Feb 2012" xfId="2610" xr:uid="{00000000-0005-0000-0000-0000310A0000}"/>
    <cellStyle name="_Sewing Kaizen_Style Change Over YC-8J 24~28 Nov, 2012" xfId="2611" xr:uid="{00000000-0005-0000-0000-0000320A0000}"/>
    <cellStyle name="_Sewing Kaizen_Style Change Over YCL- 8-(I+G1) 25~26 Jan 2012" xfId="2612" xr:uid="{00000000-0005-0000-0000-0000330A0000}"/>
    <cellStyle name="_Sewing Kaizen_Style Change Over YCL- 8-(J) 11-14 February 2012" xfId="2613" xr:uid="{00000000-0005-0000-0000-0000340A0000}"/>
    <cellStyle name="_Sewing Kaizen_Style Change Over YCL- 8-(J) 11-14 February 2012_After 5's" xfId="2614" xr:uid="{00000000-0005-0000-0000-0000350A0000}"/>
    <cellStyle name="_Sewing Kaizen_Style Change Over YCL- 8-(J) 11-14 February 2012_Base Line Data YC-8(C)" xfId="2615" xr:uid="{00000000-0005-0000-0000-0000360A0000}"/>
    <cellStyle name="_Sewing Kaizen_Style Change Over YCL- 8-(J) 11-14 February 2012_Base line Data-YC-15(G)" xfId="2616" xr:uid="{00000000-0005-0000-0000-0000370A0000}"/>
    <cellStyle name="_Sewing Kaizen_Style Change Over YCL- 8-(J) 11-14 February 2012_Book1" xfId="2617" xr:uid="{00000000-0005-0000-0000-0000380A0000}"/>
    <cellStyle name="_Sewing Kaizen_Style Change Over YCL- 8-(J) 11-14 February 2012_Copy of SK Raw data of SKB in Yc-6-(C) 26~31Jan '20131" xfId="2618" xr:uid="{00000000-0005-0000-0000-0000390A0000}"/>
    <cellStyle name="_Sewing Kaizen_Style Change Over YCL- 8-(J) 11-14 February 2012_Critical poin" xfId="2619" xr:uid="{00000000-0005-0000-0000-00003A0A0000}"/>
    <cellStyle name="_Sewing Kaizen_Style Change Over YCL- 8-(J) 11-14 February 2012_Critical poin1" xfId="2620" xr:uid="{00000000-0005-0000-0000-00003B0A0000}"/>
    <cellStyle name="_Sewing Kaizen_Style Change Over YCL- 8-(J) 11-14 February 2012_Flow Chart YC-8(C) Before1" xfId="2621" xr:uid="{00000000-0005-0000-0000-00003C0A0000}"/>
    <cellStyle name="_Sewing Kaizen_Style Change Over YCL- 8-(J) 11-14 February 2012_OCT Graph A1" xfId="2622" xr:uid="{00000000-0005-0000-0000-00003D0A0000}"/>
    <cellStyle name="_Sewing Kaizen_Style Change Over YCL- 8-(J) 11-14 February 2012_peroto Chart YC-8" xfId="2623" xr:uid="{00000000-0005-0000-0000-00003E0A0000}"/>
    <cellStyle name="_Sewing Kaizen_Style Change Over YCL- 8-(J) 11-14 February 2012_SK Raw data of SKB in Yc-8-(J) 01~05 Dec'2012" xfId="2624" xr:uid="{00000000-0005-0000-0000-00003F0A0000}"/>
    <cellStyle name="_Sewing Kaizen_Style Change Over YCL- 8-(J) 11-14 February 2012_SK Raw data of SKB in Yc-8-(J) 01~05 Dec'2012_Base line Data-YC-15(G)" xfId="2625" xr:uid="{00000000-0005-0000-0000-0000400A0000}"/>
    <cellStyle name="_Sewing Kaizen_Style Change Over YCL- 8-(J) 11-14 February 2012_SK Raw data of SKB in Yc-8-(J) 01~05 Dec'2012_Book1" xfId="2626" xr:uid="{00000000-0005-0000-0000-0000410A0000}"/>
    <cellStyle name="_Sewing Kaizen_Style Change Over YCL- 8-(J) 11-14 February 2012_SK Raw data of SKB in Yc-8-(J) 01~05 Dec'2012_Style Changeover Data Information-" xfId="2627" xr:uid="{00000000-0005-0000-0000-0000420A0000}"/>
    <cellStyle name="_Sewing Kaizen_Style Change Over YCL- 8-(J) 11-14 February 2012_SK Raw data of SKB in Yc-8-(J) 01~05 Dec'2012_Style Changeover Data Information-YCL13C" xfId="2628" xr:uid="{00000000-0005-0000-0000-0000430A0000}"/>
    <cellStyle name="_Sewing Kaizen_Style Change Over YCL- 8-(J) 11-14 February 2012_SKB RAW DATA" xfId="2629" xr:uid="{00000000-0005-0000-0000-0000440A0000}"/>
    <cellStyle name="_Sewing Kaizen_Style Change Over YCL- 8-(J) 11-14 February 2012_SKB YC-8(J)" xfId="2630" xr:uid="{00000000-0005-0000-0000-0000450A0000}"/>
    <cellStyle name="_Sewing Kaizen_Style Change Over YCL- 8-(J) 11-14 February 2012_SKB(Sewing Kaizen - YCL 14 (A)" xfId="2631" xr:uid="{00000000-0005-0000-0000-0000460A0000}"/>
    <cellStyle name="_Sewing Kaizen_Style Change Over YCL- 8-(J) 11-14 February 2012_SQDC Board format (revised)-2013" xfId="2632" xr:uid="{00000000-0005-0000-0000-0000470A0000}"/>
    <cellStyle name="_Sewing Kaizen_Style Change Over YCL- 8-(J) 11-14 February 2012_Style Change Over YC-7H  16~21 Aprl, 2013" xfId="2633" xr:uid="{00000000-0005-0000-0000-0000480A0000}"/>
    <cellStyle name="_Sewing Kaizen_Style Change Over YCL- 8-(J) 11-14 February 2012_Style Change Over YC-7H  16~21 Aprl, 2013_Base line Data-YC-15(G)" xfId="2634" xr:uid="{00000000-0005-0000-0000-0000490A0000}"/>
    <cellStyle name="_Sewing Kaizen_Style Change Over YCL- 8-(J) 11-14 February 2012_Style Change Over YC-7H  16~21 Aprl, 2013_Book1" xfId="2635" xr:uid="{00000000-0005-0000-0000-00004A0A0000}"/>
    <cellStyle name="_Sewing Kaizen_Style Change Over YCL- 8-(J) 11-14 February 2012_Style Change Over YC-7H  16~21 Aprl, 2013_Style Changeover Data Information-" xfId="2636" xr:uid="{00000000-0005-0000-0000-00004B0A0000}"/>
    <cellStyle name="_Sewing Kaizen_Style Change Over YCL- 8-(J) 11-14 February 2012_Style Change Over YC-7H  16~21 Aprl, 2013_Style Changeover Data Information-YCL13C" xfId="2637" xr:uid="{00000000-0005-0000-0000-00004C0A0000}"/>
    <cellStyle name="_Sewing Kaizen_Style Change Over YCL- 8-(J) 11-14 February 2012_Style Change Over YC-9 (I)  28~02 May, 2013" xfId="2638" xr:uid="{00000000-0005-0000-0000-00004D0A0000}"/>
    <cellStyle name="_Sewing Kaizen_Style Change Over YCL- 8-(J) 11-14 February 2012_Style Change Over YC-9 (I)  28~02 May, 2013_Base line Data-YC-15(G)" xfId="2639" xr:uid="{00000000-0005-0000-0000-00004E0A0000}"/>
    <cellStyle name="_Sewing Kaizen_Style Change Over YCL- 8-(J) 11-14 February 2012_Style Change Over YC-9 (I)  28~02 May, 2013_Book1" xfId="2640" xr:uid="{00000000-0005-0000-0000-00004F0A0000}"/>
    <cellStyle name="_Sewing Kaizen_Style Change Over YCL- 8-(J) 11-14 February 2012_Style Change Over YC-9 (I)  28~02 May, 2013_Style Changeover Data Information-" xfId="2641" xr:uid="{00000000-0005-0000-0000-0000500A0000}"/>
    <cellStyle name="_Sewing Kaizen_Style Change Over YCL- 8-(J) 11-14 February 2012_Style Change Over YC-9 (I)  28~02 May, 2013_Style Changeover Data Information-YCL13C" xfId="2642" xr:uid="{00000000-0005-0000-0000-0000510A0000}"/>
    <cellStyle name="_Sewing Kaizen_Style Change Over YCL- 8-(J) 11-14 February 2012_Style Changeover Data Information-" xfId="2643" xr:uid="{00000000-0005-0000-0000-0000520A0000}"/>
    <cellStyle name="_Sewing Kaizen_Style Change Over YCL- 8-(J) 11-14 February 2012_Xl0000034" xfId="2644" xr:uid="{00000000-0005-0000-0000-0000530A0000}"/>
    <cellStyle name="_Sewing Kaizen_Style Changeover Data Information-" xfId="2645" xr:uid="{00000000-0005-0000-0000-0000540A0000}"/>
    <cellStyle name="_Sewing Kaizen_Xl0000034" xfId="2646" xr:uid="{00000000-0005-0000-0000-0000550A0000}"/>
    <cellStyle name="_Sewing Kaizen_YC_8 F Raw data" xfId="2647" xr:uid="{00000000-0005-0000-0000-0000560A0000}"/>
    <cellStyle name="_Sewing Kaizen_YC_8 F Raw data_After 5's" xfId="2648" xr:uid="{00000000-0005-0000-0000-0000570A0000}"/>
    <cellStyle name="_Sewing Kaizen_YC_8 F Raw data_Base Line Data YC-8(C)" xfId="2649" xr:uid="{00000000-0005-0000-0000-0000580A0000}"/>
    <cellStyle name="_Sewing Kaizen_YC_8 F Raw data_Base line Data-YC-15(G)" xfId="2650" xr:uid="{00000000-0005-0000-0000-0000590A0000}"/>
    <cellStyle name="_Sewing Kaizen_YC_8 F Raw data_Book1" xfId="2651" xr:uid="{00000000-0005-0000-0000-00005A0A0000}"/>
    <cellStyle name="_Sewing Kaizen_YC_8 F Raw data_Copy of SK Raw data of SKB in Yc-6-(C) 26~31Jan '20131" xfId="2652" xr:uid="{00000000-0005-0000-0000-00005B0A0000}"/>
    <cellStyle name="_Sewing Kaizen_YC_8 F Raw data_Flow Chart YC-8(C) Before1" xfId="2653" xr:uid="{00000000-0005-0000-0000-00005C0A0000}"/>
    <cellStyle name="_Sewing Kaizen_YC_8 F Raw data_MFC(Yc 10C)" xfId="2654" xr:uid="{00000000-0005-0000-0000-00005D0A0000}"/>
    <cellStyle name="_Sewing Kaizen_YC_8 F Raw data_OCT Graph A1" xfId="2655" xr:uid="{00000000-0005-0000-0000-00005E0A0000}"/>
    <cellStyle name="_Sewing Kaizen_YC_8 F Raw data_peroto Chart YC-8" xfId="2656" xr:uid="{00000000-0005-0000-0000-00005F0A0000}"/>
    <cellStyle name="_Sewing Kaizen_YC_8 F Raw data_SK Raw data of SKB in Yc-8-(J) 01~05 Dec'2012" xfId="2657" xr:uid="{00000000-0005-0000-0000-0000600A0000}"/>
    <cellStyle name="_Sewing Kaizen_YC_8 F Raw data_SK Raw data of SKB in Yc-8-(J) 01~05 Dec'2012_Base line Data-YC-15(G)" xfId="2658" xr:uid="{00000000-0005-0000-0000-0000610A0000}"/>
    <cellStyle name="_Sewing Kaizen_YC_8 F Raw data_SK Raw data of SKB in Yc-8-(J) 01~05 Dec'2012_Book1" xfId="2659" xr:uid="{00000000-0005-0000-0000-0000620A0000}"/>
    <cellStyle name="_Sewing Kaizen_YC_8 F Raw data_SK Raw data of SKB in Yc-8-(J) 01~05 Dec'2012_Style Changeover Data Information-" xfId="2660" xr:uid="{00000000-0005-0000-0000-0000630A0000}"/>
    <cellStyle name="_Sewing Kaizen_YC_8 F Raw data_SK Raw data of SKB in Yc-8-(J) 01~05 Dec'2012_Style Changeover Data Information-YCL13C" xfId="2661" xr:uid="{00000000-0005-0000-0000-0000640A0000}"/>
    <cellStyle name="_Sewing Kaizen_YC_8 F Raw data_SKB RAW DATA" xfId="2662" xr:uid="{00000000-0005-0000-0000-0000650A0000}"/>
    <cellStyle name="_Sewing Kaizen_YC_8 F Raw data_SKB YC-8(J)" xfId="2663" xr:uid="{00000000-0005-0000-0000-0000660A0000}"/>
    <cellStyle name="_Sewing Kaizen_YC_8 F Raw data_SKB(Sewing Kaizen - YCL 14 (A)" xfId="2664" xr:uid="{00000000-0005-0000-0000-0000670A0000}"/>
    <cellStyle name="_Sewing Kaizen_YC_8 F Raw data_SQDC Board format (revised)-2013" xfId="2665" xr:uid="{00000000-0005-0000-0000-0000680A0000}"/>
    <cellStyle name="_Sewing Kaizen_YC_8 F Raw data_Style Change Over YC-6 E 23~227 Mar, 2013" xfId="2666" xr:uid="{00000000-0005-0000-0000-0000690A0000}"/>
    <cellStyle name="_Sewing Kaizen_YC_8 F Raw data_Style Change Over YC-7H  16~21 Aprl, 2013" xfId="2667" xr:uid="{00000000-0005-0000-0000-00006A0A0000}"/>
    <cellStyle name="_Sewing Kaizen_YC_8 F Raw data_Style Changeover Data Information-" xfId="2668" xr:uid="{00000000-0005-0000-0000-00006B0A0000}"/>
    <cellStyle name="_Sewing Kaizen_YC_8 F Raw data_Xl0000034" xfId="2669" xr:uid="{00000000-0005-0000-0000-00006C0A0000}"/>
    <cellStyle name="_Sewing Kaizen_YC-8 (I+G2) Raw data" xfId="2670" xr:uid="{00000000-0005-0000-0000-00006D0A0000}"/>
    <cellStyle name="_Sewing Kaizen_YC-8-I+G1  29-04-2012" xfId="2671" xr:uid="{00000000-0005-0000-0000-00006E0A0000}"/>
    <cellStyle name="_Sewing Kaizen_YC-8-I+G2  30-05-2012" xfId="2672" xr:uid="{00000000-0005-0000-0000-00006F0A0000}"/>
    <cellStyle name="_Sewing Kaizen_Yc-9E" xfId="2673" xr:uid="{00000000-0005-0000-0000-0000700A0000}"/>
    <cellStyle name="_Sewing Kaizen_Yc-9E_Style Change Over YC-7H  16~21 Aprl, 2013" xfId="2674" xr:uid="{00000000-0005-0000-0000-0000710A0000}"/>
    <cellStyle name="_Sewing Kaizen_Yc-9E_Style Change Over YC-7H  16~21 Aprl, 2013_Base line Data-YC-15(G)" xfId="2675" xr:uid="{00000000-0005-0000-0000-0000720A0000}"/>
    <cellStyle name="_Sewing Kaizen_Yc-9E_Style Change Over YC-7H  16~21 Aprl, 2013_Book1" xfId="2676" xr:uid="{00000000-0005-0000-0000-0000730A0000}"/>
    <cellStyle name="_Sewing Kaizen_Yc-9E_Style Change Over YC-7H  16~21 Aprl, 2013_Style Changeover Data Information-" xfId="2677" xr:uid="{00000000-0005-0000-0000-0000740A0000}"/>
    <cellStyle name="_Sewing Kaizen_Yc-9E_Style Change Over YC-7H  16~21 Aprl, 2013_Style Changeover Data Information-YCL13C" xfId="2678" xr:uid="{00000000-0005-0000-0000-0000750A0000}"/>
    <cellStyle name="_Sewing Kaizen_Yc-9E_Style Change Over YC-9 (I)  28~02 May, 2013" xfId="2679" xr:uid="{00000000-0005-0000-0000-0000760A0000}"/>
    <cellStyle name="_Sewing Kaizen_Yc-9E_Style Change Over YC-9 (I)  28~02 May, 2013_Base line Data-YC-15(G)" xfId="2680" xr:uid="{00000000-0005-0000-0000-0000770A0000}"/>
    <cellStyle name="_Sewing Kaizen_Yc-9E_Style Change Over YC-9 (I)  28~02 May, 2013_Book1" xfId="2681" xr:uid="{00000000-0005-0000-0000-0000780A0000}"/>
    <cellStyle name="_Sewing Kaizen_Yc-9E_Style Change Over YC-9 (I)  28~02 May, 2013_Style Changeover Data Information-" xfId="2682" xr:uid="{00000000-0005-0000-0000-0000790A0000}"/>
    <cellStyle name="_Sewing Kaizen_Yc-9E_Style Change Over YC-9 (I)  28~02 May, 2013_Style Changeover Data Information-YCL13C" xfId="2683" xr:uid="{00000000-0005-0000-0000-00007A0A0000}"/>
    <cellStyle name="_Sewing Kaizen_Yc-9E1" xfId="2684" xr:uid="{00000000-0005-0000-0000-00007B0A0000}"/>
    <cellStyle name="_Sewing Kaizen_Yc-9E1_Style Change Over YC-7H  16~21 Aprl, 2013" xfId="2685" xr:uid="{00000000-0005-0000-0000-00007C0A0000}"/>
    <cellStyle name="_Sewing Kaizen_Yc-9E1_Style Change Over YC-7H  16~21 Aprl, 2013_Base line Data-YC-15(G)" xfId="2686" xr:uid="{00000000-0005-0000-0000-00007D0A0000}"/>
    <cellStyle name="_Sewing Kaizen_Yc-9E1_Style Change Over YC-7H  16~21 Aprl, 2013_Book1" xfId="2687" xr:uid="{00000000-0005-0000-0000-00007E0A0000}"/>
    <cellStyle name="_Sewing Kaizen_Yc-9E1_Style Change Over YC-7H  16~21 Aprl, 2013_Style Changeover Data Information-" xfId="2688" xr:uid="{00000000-0005-0000-0000-00007F0A0000}"/>
    <cellStyle name="_Sewing Kaizen_Yc-9E1_Style Change Over YC-7H  16~21 Aprl, 2013_Style Changeover Data Information-YCL13C" xfId="2689" xr:uid="{00000000-0005-0000-0000-0000800A0000}"/>
    <cellStyle name="_Sewing Kaizen_Yc-9E1_Style Change Over YC-9 (I)  28~02 May, 2013" xfId="2690" xr:uid="{00000000-0005-0000-0000-0000810A0000}"/>
    <cellStyle name="_Sewing Kaizen_Yc-9E1_Style Change Over YC-9 (I)  28~02 May, 2013_Base line Data-YC-15(G)" xfId="2691" xr:uid="{00000000-0005-0000-0000-0000820A0000}"/>
    <cellStyle name="_Sewing Kaizen_Yc-9E1_Style Change Over YC-9 (I)  28~02 May, 2013_Book1" xfId="2692" xr:uid="{00000000-0005-0000-0000-0000830A0000}"/>
    <cellStyle name="_Sewing Kaizen_Yc-9E1_Style Change Over YC-9 (I)  28~02 May, 2013_Style Changeover Data Information-" xfId="2693" xr:uid="{00000000-0005-0000-0000-0000840A0000}"/>
    <cellStyle name="_Sewing Kaizen_Yc-9E1_Style Change Over YC-9 (I)  28~02 May, 2013_Style Changeover Data Information-YCL13C" xfId="2694" xr:uid="{00000000-0005-0000-0000-0000850A0000}"/>
    <cellStyle name="_Sewing Kaizen_YCL - 8 (H) ~ Changeover -Raw data(16 Feb~22 Feb,12)" xfId="2695" xr:uid="{00000000-0005-0000-0000-0000860A0000}"/>
    <cellStyle name="_Sewing Kaizen_YCL- 8 E+MOD~ Changeover -Raw data(3rd April to 7th April )" xfId="2696" xr:uid="{00000000-0005-0000-0000-0000870A0000}"/>
    <cellStyle name="_Sewing Kaizen_YCL2012_003I_SKB Presentation_YCL 8-I+G2(Changeover)_24~29 Aprl,2012 (version 1)" xfId="2697" xr:uid="{00000000-0005-0000-0000-0000880A0000}"/>
    <cellStyle name="_Sewing Kaizen_YCL2012-010I-SKB Presentation_YCL 8(H+G1_Changeover_12~18 April, 2012" xfId="2698" xr:uid="{00000000-0005-0000-0000-0000890A0000}"/>
    <cellStyle name="_Sewing Kaizen_YCL2012-010I-SKB Presentation_YCL 8(H+G1_Changeover_12~18 April, 2012_Base Line Data YC-8(C)" xfId="2699" xr:uid="{00000000-0005-0000-0000-00008A0A0000}"/>
    <cellStyle name="_Sewing Kaizen_YCL2012-010I-SKB Presentation_YCL 8(H+G1_Changeover_12~18 April, 2012_Base line Data-YC-15(G)" xfId="2700" xr:uid="{00000000-0005-0000-0000-00008B0A0000}"/>
    <cellStyle name="_Sewing Kaizen_YCL2012-010I-SKB Presentation_YCL 8(H+G1_Changeover_12~18 April, 2012_Book1" xfId="2701" xr:uid="{00000000-0005-0000-0000-00008C0A0000}"/>
    <cellStyle name="_Sewing Kaizen_YCL2012-010I-SKB Presentation_YCL 8(H+G1_Changeover_12~18 April, 2012_Copy of SK Raw data of SKB in Yc-6-(C) 26~31Jan '20131" xfId="2702" xr:uid="{00000000-0005-0000-0000-00008D0A0000}"/>
    <cellStyle name="_Sewing Kaizen_YCL2012-010I-SKB Presentation_YCL 8(H+G1_Changeover_12~18 April, 2012_Flow Chart YC-8(C) Before1" xfId="2703" xr:uid="{00000000-0005-0000-0000-00008E0A0000}"/>
    <cellStyle name="_Sewing Kaizen_YCL2012-010I-SKB Presentation_YCL 8(H+G1_Changeover_12~18 April, 2012_OCT Graph A1" xfId="2704" xr:uid="{00000000-0005-0000-0000-00008F0A0000}"/>
    <cellStyle name="_Sewing Kaizen_YCL2012-010I-SKB Presentation_YCL 8(H+G1_Changeover_12~18 April, 2012_SK Raw data of SKB in Yc-8-(J) 01~05 Dec'2012" xfId="2705" xr:uid="{00000000-0005-0000-0000-0000900A0000}"/>
    <cellStyle name="_Sewing Kaizen_YCL2012-010I-SKB Presentation_YCL 8(H+G1_Changeover_12~18 April, 2012_SK Raw data of SKB in Yc-8-(J) 01~05 Dec'2012_Base line Data-YC-15(G)" xfId="2706" xr:uid="{00000000-0005-0000-0000-0000910A0000}"/>
    <cellStyle name="_Sewing Kaizen_YCL2012-010I-SKB Presentation_YCL 8(H+G1_Changeover_12~18 April, 2012_SK Raw data of SKB in Yc-8-(J) 01~05 Dec'2012_Book1" xfId="2707" xr:uid="{00000000-0005-0000-0000-0000920A0000}"/>
    <cellStyle name="_Sewing Kaizen_YCL2012-010I-SKB Presentation_YCL 8(H+G1_Changeover_12~18 April, 2012_SK Raw data of SKB in Yc-8-(J) 01~05 Dec'2012_Style Changeover Data Information-" xfId="2708" xr:uid="{00000000-0005-0000-0000-0000930A0000}"/>
    <cellStyle name="_Sewing Kaizen_YCL2012-010I-SKB Presentation_YCL 8(H+G1_Changeover_12~18 April, 2012_SK Raw data of SKB in Yc-8-(J) 01~05 Dec'2012_Style Changeover Data Information-YCL13C" xfId="2709" xr:uid="{00000000-0005-0000-0000-0000940A0000}"/>
    <cellStyle name="_Sewing Kaizen_YCL2012-010I-SKB Presentation_YCL 8(H+G1_Changeover_12~18 April, 2012_SKB RAW DATA" xfId="2710" xr:uid="{00000000-0005-0000-0000-0000950A0000}"/>
    <cellStyle name="_Sewing Kaizen_YCL2012-010I-SKB Presentation_YCL 8(H+G1_Changeover_12~18 April, 2012_SKB YC-8(J)" xfId="2711" xr:uid="{00000000-0005-0000-0000-0000960A0000}"/>
    <cellStyle name="_Sewing Kaizen_YCL2012-010I-SKB Presentation_YCL 8(H+G1_Changeover_12~18 April, 2012_SKB(Sewing Kaizen - YCL 14 (A)" xfId="2712" xr:uid="{00000000-0005-0000-0000-0000970A0000}"/>
    <cellStyle name="_Sewing Kaizen_YCL2012-010I-SKB Presentation_YCL 8(H+G1_Changeover_12~18 April, 2012_SQDC Board format (revised)-2013" xfId="2713" xr:uid="{00000000-0005-0000-0000-0000980A0000}"/>
    <cellStyle name="_Sewing Kaizen_YCL2012-010I-SKB Presentation_YCL 8(H+G1_Changeover_12~18 April, 2012_Style Changeover Data Information-" xfId="2714" xr:uid="{00000000-0005-0000-0000-0000990A0000}"/>
    <cellStyle name="_Sewing Kaizen_YCL2012-010I-SKB Presentation_YCL 8(H+G1_Changeover_12~18 April, 2012_Xl0000034" xfId="2715" xr:uid="{00000000-0005-0000-0000-00009A0A0000}"/>
    <cellStyle name="_Sewing Kaizen_Ycl-6C" xfId="2716" xr:uid="{00000000-0005-0000-0000-00009B0A0000}"/>
    <cellStyle name="_Sewing Kaizen_Ycl-7H" xfId="2717" xr:uid="{00000000-0005-0000-0000-00009C0A0000}"/>
    <cellStyle name="_Sewing Kaizen_Ycl-7H_Base line Data-YC-15(G)" xfId="2718" xr:uid="{00000000-0005-0000-0000-00009D0A0000}"/>
    <cellStyle name="_Sewing Kaizen_Ycl-7H_Book1" xfId="2719" xr:uid="{00000000-0005-0000-0000-00009E0A0000}"/>
    <cellStyle name="_Sewing Kaizen_Ycl-7H_Style Changeover Data Information-" xfId="2720" xr:uid="{00000000-0005-0000-0000-00009F0A0000}"/>
    <cellStyle name="_Sewing Kaizen_Ycl-7H_Style Changeover Data Information-YCL13C" xfId="2721" xr:uid="{00000000-0005-0000-0000-0000A00A0000}"/>
    <cellStyle name="_Sewing Kaizen_YCL-8-G+1 31-01-2012" xfId="2722" xr:uid="{00000000-0005-0000-0000-0000A10A0000}"/>
    <cellStyle name="_Sewing Kaizen_YCL-8-G+1 31-01-2012_After 5's" xfId="2723" xr:uid="{00000000-0005-0000-0000-0000A20A0000}"/>
    <cellStyle name="_Sewing Kaizen_YCL-8-G+1 31-01-2012_Base Line Data YC-8(C)" xfId="2724" xr:uid="{00000000-0005-0000-0000-0000A30A0000}"/>
    <cellStyle name="_Sewing Kaizen_YCL-8-G+1 31-01-2012_Base line Data-YC-15(G)" xfId="2725" xr:uid="{00000000-0005-0000-0000-0000A40A0000}"/>
    <cellStyle name="_Sewing Kaizen_YCL-8-G+1 31-01-2012_Book1" xfId="2726" xr:uid="{00000000-0005-0000-0000-0000A50A0000}"/>
    <cellStyle name="_Sewing Kaizen_YCL-8-G+1 31-01-2012_Copy of SK Raw data of SKB in Yc-6-(C) 26~31Jan '20131" xfId="2727" xr:uid="{00000000-0005-0000-0000-0000A60A0000}"/>
    <cellStyle name="_Sewing Kaizen_YCL-8-G+1 31-01-2012_Critical poin" xfId="2728" xr:uid="{00000000-0005-0000-0000-0000A70A0000}"/>
    <cellStyle name="_Sewing Kaizen_YCL-8-G+1 31-01-2012_Critical poin1" xfId="2729" xr:uid="{00000000-0005-0000-0000-0000A80A0000}"/>
    <cellStyle name="_Sewing Kaizen_YCL-8-G+1 31-01-2012_Flow Chart YC-8(C) Before1" xfId="2730" xr:uid="{00000000-0005-0000-0000-0000A90A0000}"/>
    <cellStyle name="_Sewing Kaizen_YCL-8-G+1 31-01-2012_OCT Graph A1" xfId="2731" xr:uid="{00000000-0005-0000-0000-0000AA0A0000}"/>
    <cellStyle name="_Sewing Kaizen_YCL-8-G+1 31-01-2012_peroto Chart YC-8" xfId="2732" xr:uid="{00000000-0005-0000-0000-0000AB0A0000}"/>
    <cellStyle name="_Sewing Kaizen_YCL-8-G+1 31-01-2012_SK Raw data of SKB in Yc-8-(J) 01~05 Dec'2012" xfId="2733" xr:uid="{00000000-0005-0000-0000-0000AC0A0000}"/>
    <cellStyle name="_Sewing Kaizen_YCL-8-G+1 31-01-2012_SK Raw data of SKB in Yc-8-(J) 01~05 Dec'2012_Base line Data-YC-15(G)" xfId="2734" xr:uid="{00000000-0005-0000-0000-0000AD0A0000}"/>
    <cellStyle name="_Sewing Kaizen_YCL-8-G+1 31-01-2012_SK Raw data of SKB in Yc-8-(J) 01~05 Dec'2012_Book1" xfId="2735" xr:uid="{00000000-0005-0000-0000-0000AE0A0000}"/>
    <cellStyle name="_Sewing Kaizen_YCL-8-G+1 31-01-2012_SK Raw data of SKB in Yc-8-(J) 01~05 Dec'2012_Style Changeover Data Information-" xfId="2736" xr:uid="{00000000-0005-0000-0000-0000AF0A0000}"/>
    <cellStyle name="_Sewing Kaizen_YCL-8-G+1 31-01-2012_SK Raw data of SKB in Yc-8-(J) 01~05 Dec'2012_Style Changeover Data Information-YCL13C" xfId="2737" xr:uid="{00000000-0005-0000-0000-0000B00A0000}"/>
    <cellStyle name="_Sewing Kaizen_YCL-8-G+1 31-01-2012_SKB RAW DATA" xfId="2738" xr:uid="{00000000-0005-0000-0000-0000B10A0000}"/>
    <cellStyle name="_Sewing Kaizen_YCL-8-G+1 31-01-2012_SKB YC-8(J)" xfId="2739" xr:uid="{00000000-0005-0000-0000-0000B20A0000}"/>
    <cellStyle name="_Sewing Kaizen_YCL-8-G+1 31-01-2012_SKB(Sewing Kaizen - YCL 14 (A)" xfId="2740" xr:uid="{00000000-0005-0000-0000-0000B30A0000}"/>
    <cellStyle name="_Sewing Kaizen_YCL-8-G+1 31-01-2012_SQDC Board format (revised)-2013" xfId="2741" xr:uid="{00000000-0005-0000-0000-0000B40A0000}"/>
    <cellStyle name="_Sewing Kaizen_YCL-8-G+1 31-01-2012_Style Change Over YC-7H  16~21 Aprl, 2013" xfId="2742" xr:uid="{00000000-0005-0000-0000-0000B50A0000}"/>
    <cellStyle name="_Sewing Kaizen_YCL-8-G+1 31-01-2012_Style Change Over YC-7H  16~21 Aprl, 2013_Base line Data-YC-15(G)" xfId="2743" xr:uid="{00000000-0005-0000-0000-0000B60A0000}"/>
    <cellStyle name="_Sewing Kaizen_YCL-8-G+1 31-01-2012_Style Change Over YC-7H  16~21 Aprl, 2013_Book1" xfId="2744" xr:uid="{00000000-0005-0000-0000-0000B70A0000}"/>
    <cellStyle name="_Sewing Kaizen_YCL-8-G+1 31-01-2012_Style Change Over YC-7H  16~21 Aprl, 2013_Style Changeover Data Information-" xfId="2745" xr:uid="{00000000-0005-0000-0000-0000B80A0000}"/>
    <cellStyle name="_Sewing Kaizen_YCL-8-G+1 31-01-2012_Style Change Over YC-7H  16~21 Aprl, 2013_Style Changeover Data Information-YCL13C" xfId="2746" xr:uid="{00000000-0005-0000-0000-0000B90A0000}"/>
    <cellStyle name="_Sewing Kaizen_YCL-8-G+1 31-01-2012_Style Change Over YC-9 (I)  28~02 May, 2013" xfId="2747" xr:uid="{00000000-0005-0000-0000-0000BA0A0000}"/>
    <cellStyle name="_Sewing Kaizen_YCL-8-G+1 31-01-2012_Style Change Over YC-9 (I)  28~02 May, 2013_Base line Data-YC-15(G)" xfId="2748" xr:uid="{00000000-0005-0000-0000-0000BB0A0000}"/>
    <cellStyle name="_Sewing Kaizen_YCL-8-G+1 31-01-2012_Style Change Over YC-9 (I)  28~02 May, 2013_Book1" xfId="2749" xr:uid="{00000000-0005-0000-0000-0000BC0A0000}"/>
    <cellStyle name="_Sewing Kaizen_YCL-8-G+1 31-01-2012_Style Change Over YC-9 (I)  28~02 May, 2013_Style Changeover Data Information-" xfId="2750" xr:uid="{00000000-0005-0000-0000-0000BD0A0000}"/>
    <cellStyle name="_Sewing Kaizen_YCL-8-G+1 31-01-2012_Style Change Over YC-9 (I)  28~02 May, 2013_Style Changeover Data Information-YCL13C" xfId="2751" xr:uid="{00000000-0005-0000-0000-0000BE0A0000}"/>
    <cellStyle name="_Sewing Kaizen_YCL-8-G+1 31-01-2012_Style Changeover Data Information-" xfId="2752" xr:uid="{00000000-0005-0000-0000-0000BF0A0000}"/>
    <cellStyle name="_Sewing Kaizen_YCL-8-G+1 31-01-2012_Xl0000034" xfId="2753" xr:uid="{00000000-0005-0000-0000-0000C00A0000}"/>
    <cellStyle name="_SEWING Kaizenyc-8(H)1" xfId="2754" xr:uid="{00000000-0005-0000-0000-0000C10A0000}"/>
    <cellStyle name="_SEWING Kaizenyc-8(H)1_After 5's" xfId="2755" xr:uid="{00000000-0005-0000-0000-0000C20A0000}"/>
    <cellStyle name="_SEWING Kaizenyc-8(H)1_Base Line Data YC-8(C)" xfId="2756" xr:uid="{00000000-0005-0000-0000-0000C30A0000}"/>
    <cellStyle name="_SEWING Kaizenyc-8(H)1_Base line Data-YC-15(G)" xfId="2757" xr:uid="{00000000-0005-0000-0000-0000C40A0000}"/>
    <cellStyle name="_SEWING Kaizenyc-8(H)1_Before 5's YC-8(C)" xfId="2758" xr:uid="{00000000-0005-0000-0000-0000C50A0000}"/>
    <cellStyle name="_SEWING Kaizenyc-8(H)1_Book1" xfId="2759" xr:uid="{00000000-0005-0000-0000-0000C60A0000}"/>
    <cellStyle name="_SEWING Kaizenyc-8(H)1_Copy of SK Raw data of SKB in Yc-6-(C) 26~31Jan '20131" xfId="2760" xr:uid="{00000000-0005-0000-0000-0000C70A0000}"/>
    <cellStyle name="_SEWING Kaizenyc-8(H)1_Flow Chart YC-8(C) Before1" xfId="2761" xr:uid="{00000000-0005-0000-0000-0000C80A0000}"/>
    <cellStyle name="_SEWING Kaizenyc-8(H)1_Graph-6B3" xfId="2762" xr:uid="{00000000-0005-0000-0000-0000C90A0000}"/>
    <cellStyle name="_SEWING Kaizenyc-8(H)1_Graph-6B4" xfId="2763" xr:uid="{00000000-0005-0000-0000-0000CA0A0000}"/>
    <cellStyle name="_SEWING Kaizenyc-8(H)1_Graph-6B5" xfId="2764" xr:uid="{00000000-0005-0000-0000-0000CB0A0000}"/>
    <cellStyle name="_SEWING Kaizenyc-8(H)1_MFC(Yc 10C)" xfId="2765" xr:uid="{00000000-0005-0000-0000-0000CC0A0000}"/>
    <cellStyle name="_SEWING Kaizenyc-8(H)1_OCT Graph A1" xfId="2766" xr:uid="{00000000-0005-0000-0000-0000CD0A0000}"/>
    <cellStyle name="_SEWING Kaizenyc-8(H)1_peroto Chart YC-8" xfId="2767" xr:uid="{00000000-0005-0000-0000-0000CE0A0000}"/>
    <cellStyle name="_SEWING Kaizenyc-8(H)1_SK Raw data of SKB in Yc-8-(J) 01~05 Dec'2012" xfId="2768" xr:uid="{00000000-0005-0000-0000-0000CF0A0000}"/>
    <cellStyle name="_SEWING Kaizenyc-8(H)1_SK Raw data of SKB in Yc-8-(J) 01~05 Dec'2012_Base line Data-YC-15(G)" xfId="2769" xr:uid="{00000000-0005-0000-0000-0000D00A0000}"/>
    <cellStyle name="_SEWING Kaizenyc-8(H)1_SK Raw data of SKB in Yc-8-(J) 01~05 Dec'2012_Book1" xfId="2770" xr:uid="{00000000-0005-0000-0000-0000D10A0000}"/>
    <cellStyle name="_SEWING Kaizenyc-8(H)1_SK Raw data of SKB in Yc-8-(J) 01~05 Dec'2012_Style Changeover Data Information-" xfId="2771" xr:uid="{00000000-0005-0000-0000-0000D20A0000}"/>
    <cellStyle name="_SEWING Kaizenyc-8(H)1_SK Raw data of SKB in Yc-8-(J) 01~05 Dec'2012_Style Changeover Data Information-YCL13C" xfId="2772" xr:uid="{00000000-0005-0000-0000-0000D30A0000}"/>
    <cellStyle name="_SEWING Kaizenyc-8(H)1_SKB RAW DATA" xfId="2773" xr:uid="{00000000-0005-0000-0000-0000D40A0000}"/>
    <cellStyle name="_SEWING Kaizenyc-8(H)1_SKB YC-8(J)" xfId="2774" xr:uid="{00000000-0005-0000-0000-0000D50A0000}"/>
    <cellStyle name="_SEWING Kaizenyc-8(H)1_SKB(Sewing Kaizen - YCL 14 (A)" xfId="2775" xr:uid="{00000000-0005-0000-0000-0000D60A0000}"/>
    <cellStyle name="_SEWING Kaizenyc-8(H)1_SQDC Board format (revised)-2013" xfId="2776" xr:uid="{00000000-0005-0000-0000-0000D70A0000}"/>
    <cellStyle name="_SEWING Kaizenyc-8(H)1_Style Change Over YC-6 E 23~227 Mar, 2013" xfId="2777" xr:uid="{00000000-0005-0000-0000-0000D80A0000}"/>
    <cellStyle name="_SEWING Kaizenyc-8(H)1_Style Change Over YC-7H  16~21 Aprl, 2013" xfId="2778" xr:uid="{00000000-0005-0000-0000-0000D90A0000}"/>
    <cellStyle name="_SEWING Kaizenyc-8(H)1_Style Changeover Data Information-" xfId="2779" xr:uid="{00000000-0005-0000-0000-0000DA0A0000}"/>
    <cellStyle name="_SEWING Kaizenyc-8(H)1_Xl0000034" xfId="2780" xr:uid="{00000000-0005-0000-0000-0000DB0A0000}"/>
    <cellStyle name="_SEWING Kaizenyc-8(H)1_Yc-9E" xfId="2781" xr:uid="{00000000-0005-0000-0000-0000DC0A0000}"/>
    <cellStyle name="_SEWING Kaizenyc-8(H)1_Yc-9E_Style Change Over YC-7H  16~21 Aprl, 2013" xfId="2782" xr:uid="{00000000-0005-0000-0000-0000DD0A0000}"/>
    <cellStyle name="_SEWING Kaizenyc-8(H)1_Yc-9E_Style Change Over YC-7H  16~21 Aprl, 2013_Base line Data-YC-15(G)" xfId="2783" xr:uid="{00000000-0005-0000-0000-0000DE0A0000}"/>
    <cellStyle name="_SEWING Kaizenyc-8(H)1_Yc-9E_Style Change Over YC-7H  16~21 Aprl, 2013_Book1" xfId="2784" xr:uid="{00000000-0005-0000-0000-0000DF0A0000}"/>
    <cellStyle name="_SEWING Kaizenyc-8(H)1_Yc-9E_Style Change Over YC-7H  16~21 Aprl, 2013_Style Changeover Data Information-" xfId="2785" xr:uid="{00000000-0005-0000-0000-0000E00A0000}"/>
    <cellStyle name="_SEWING Kaizenyc-8(H)1_Yc-9E_Style Change Over YC-7H  16~21 Aprl, 2013_Style Changeover Data Information-YCL13C" xfId="2786" xr:uid="{00000000-0005-0000-0000-0000E10A0000}"/>
    <cellStyle name="_SEWING Kaizenyc-8(H)1_Yc-9E_Style Change Over YC-9 (I)  28~02 May, 2013" xfId="2787" xr:uid="{00000000-0005-0000-0000-0000E20A0000}"/>
    <cellStyle name="_SEWING Kaizenyc-8(H)1_Yc-9E_Style Change Over YC-9 (I)  28~02 May, 2013_Base line Data-YC-15(G)" xfId="2788" xr:uid="{00000000-0005-0000-0000-0000E30A0000}"/>
    <cellStyle name="_SEWING Kaizenyc-8(H)1_Yc-9E_Style Change Over YC-9 (I)  28~02 May, 2013_Book1" xfId="2789" xr:uid="{00000000-0005-0000-0000-0000E40A0000}"/>
    <cellStyle name="_SEWING Kaizenyc-8(H)1_Yc-9E_Style Change Over YC-9 (I)  28~02 May, 2013_Style Changeover Data Information-" xfId="2790" xr:uid="{00000000-0005-0000-0000-0000E50A0000}"/>
    <cellStyle name="_SEWING Kaizenyc-8(H)1_Yc-9E_Style Change Over YC-9 (I)  28~02 May, 2013_Style Changeover Data Information-YCL13C" xfId="2791" xr:uid="{00000000-0005-0000-0000-0000E60A0000}"/>
    <cellStyle name="_SEWING Kaizenyc-8(H)1_Yc-9E1" xfId="2792" xr:uid="{00000000-0005-0000-0000-0000E70A0000}"/>
    <cellStyle name="_SEWING Kaizenyc-8(H)1_Yc-9E1_Style Change Over YC-7H  16~21 Aprl, 2013" xfId="2793" xr:uid="{00000000-0005-0000-0000-0000E80A0000}"/>
    <cellStyle name="_SEWING Kaizenyc-8(H)1_Yc-9E1_Style Change Over YC-7H  16~21 Aprl, 2013_Base line Data-YC-15(G)" xfId="2794" xr:uid="{00000000-0005-0000-0000-0000E90A0000}"/>
    <cellStyle name="_SEWING Kaizenyc-8(H)1_Yc-9E1_Style Change Over YC-7H  16~21 Aprl, 2013_Book1" xfId="2795" xr:uid="{00000000-0005-0000-0000-0000EA0A0000}"/>
    <cellStyle name="_SEWING Kaizenyc-8(H)1_Yc-9E1_Style Change Over YC-7H  16~21 Aprl, 2013_Style Changeover Data Information-" xfId="2796" xr:uid="{00000000-0005-0000-0000-0000EB0A0000}"/>
    <cellStyle name="_SEWING Kaizenyc-8(H)1_Yc-9E1_Style Change Over YC-7H  16~21 Aprl, 2013_Style Changeover Data Information-YCL13C" xfId="2797" xr:uid="{00000000-0005-0000-0000-0000EC0A0000}"/>
    <cellStyle name="_SEWING Kaizenyc-8(H)1_Yc-9E1_Style Change Over YC-9 (I)  28~02 May, 2013" xfId="2798" xr:uid="{00000000-0005-0000-0000-0000ED0A0000}"/>
    <cellStyle name="_SEWING Kaizenyc-8(H)1_Yc-9E1_Style Change Over YC-9 (I)  28~02 May, 2013_Base line Data-YC-15(G)" xfId="2799" xr:uid="{00000000-0005-0000-0000-0000EE0A0000}"/>
    <cellStyle name="_SEWING Kaizenyc-8(H)1_Yc-9E1_Style Change Over YC-9 (I)  28~02 May, 2013_Book1" xfId="2800" xr:uid="{00000000-0005-0000-0000-0000EF0A0000}"/>
    <cellStyle name="_SEWING Kaizenyc-8(H)1_Yc-9E1_Style Change Over YC-9 (I)  28~02 May, 2013_Style Changeover Data Information-" xfId="2801" xr:uid="{00000000-0005-0000-0000-0000F00A0000}"/>
    <cellStyle name="_SEWING Kaizenyc-8(H)1_Yc-9E1_Style Change Over YC-9 (I)  28~02 May, 2013_Style Changeover Data Information-YCL13C" xfId="2802" xr:uid="{00000000-0005-0000-0000-0000F10A0000}"/>
    <cellStyle name="_SEWING Kaizenyc-8(H)1_Ycl-6C" xfId="2803" xr:uid="{00000000-0005-0000-0000-0000F20A0000}"/>
    <cellStyle name="_SEWING Kaizenyc-8(H)1_Ycl-7H" xfId="2804" xr:uid="{00000000-0005-0000-0000-0000F30A0000}"/>
    <cellStyle name="_SEWING Kaizenyc-8(H)1_Ycl-7H_Base line Data-YC-15(G)" xfId="2805" xr:uid="{00000000-0005-0000-0000-0000F40A0000}"/>
    <cellStyle name="_SEWING Kaizenyc-8(H)1_Ycl-7H_Book1" xfId="2806" xr:uid="{00000000-0005-0000-0000-0000F50A0000}"/>
    <cellStyle name="_SEWING Kaizenyc-8(H)1_Ycl-7H_Style Changeover Data Information-" xfId="2807" xr:uid="{00000000-0005-0000-0000-0000F60A0000}"/>
    <cellStyle name="_SEWING Kaizenyc-8(H)1_Ycl-7H_Style Changeover Data Information-YCL13C" xfId="2808" xr:uid="{00000000-0005-0000-0000-0000F70A0000}"/>
    <cellStyle name="_SK Raw data of SKB in Yc-8-(J) 01~05 Dec'2012" xfId="2809" xr:uid="{00000000-0005-0000-0000-0000F80A0000}"/>
    <cellStyle name="_SK Raw data of SKB in Yc-8-(J) 01~05 Dec'2012_Base line Data-YC-15(G)" xfId="2810" xr:uid="{00000000-0005-0000-0000-0000F90A0000}"/>
    <cellStyle name="_SK Raw data of SKB in Yc-8-(J) 01~05 Dec'2012_Book1" xfId="2811" xr:uid="{00000000-0005-0000-0000-0000FA0A0000}"/>
    <cellStyle name="_SK Raw data of SKB in Yc-8-(J) 01~05 Dec'2012_Style Changeover Data Information-" xfId="2812" xr:uid="{00000000-0005-0000-0000-0000FB0A0000}"/>
    <cellStyle name="_SK Raw data of SKB in Yc-8-(J) 01~05 Dec'2012_Style Changeover Data Information-YCL13C" xfId="2813" xr:uid="{00000000-0005-0000-0000-0000FC0A0000}"/>
    <cellStyle name="_SK Raw data of SKB in Yc-8-I+G2 28Apr~3May'2012" xfId="2814" xr:uid="{00000000-0005-0000-0000-0000FD0A0000}"/>
    <cellStyle name="_SKB(Sewing Kaizen - YCL 14 (A)" xfId="2815" xr:uid="{00000000-0005-0000-0000-0000FE0A0000}"/>
    <cellStyle name="_Style Change" xfId="2816" xr:uid="{00000000-0005-0000-0000-0000FF0A0000}"/>
    <cellStyle name="_Style change over  Root Cause (Lsl)" xfId="2817" xr:uid="{00000000-0005-0000-0000-0000000B0000}"/>
    <cellStyle name="_Style Change Over YC-6 E 23~227 Mar, 2013" xfId="2818" xr:uid="{00000000-0005-0000-0000-0000010B0000}"/>
    <cellStyle name="_Style Change Over YC-7H  16~21 Aprl, 2013" xfId="2819" xr:uid="{00000000-0005-0000-0000-0000020B0000}"/>
    <cellStyle name="_Style Change Over YC-8J 11~16 Feb 2012" xfId="2820" xr:uid="{00000000-0005-0000-0000-0000030B0000}"/>
    <cellStyle name="_Style Change Over YC-8J 24~28 Nov, 2012" xfId="2821" xr:uid="{00000000-0005-0000-0000-0000040B0000}"/>
    <cellStyle name="_Style Change Over YCL- 8-(E+M) 01~05 Apr, 2012" xfId="2822" xr:uid="{00000000-0005-0000-0000-0000050B0000}"/>
    <cellStyle name="_Style Change Over YCL- 8-(I+G1) 25~26 Jan 2012" xfId="2823" xr:uid="{00000000-0005-0000-0000-0000060B0000}"/>
    <cellStyle name="_Style Change(5th Week)" xfId="2824" xr:uid="{00000000-0005-0000-0000-0000070B0000}"/>
    <cellStyle name="_Style Change2" xfId="2825" xr:uid="{00000000-0005-0000-0000-0000080B0000}"/>
    <cellStyle name="_Style List" xfId="2826" xr:uid="{00000000-0005-0000-0000-0000090B0000}"/>
    <cellStyle name="_Style List_AZLT TSL-02 (C+D1) (MANIK)" xfId="2827" xr:uid="{00000000-0005-0000-0000-00000A0B0000}"/>
    <cellStyle name="_Style List_AZLT TSL-02 (C+D1) (MANIK)_SASS1300078" xfId="2828" xr:uid="{00000000-0005-0000-0000-00000B0B0000}"/>
    <cellStyle name="_Style List_AZLT TSL-02 (C+D1) (MANIK)_Style Change Over YC-7H  16~21 Aprl, 2013" xfId="2829" xr:uid="{00000000-0005-0000-0000-00000C0B0000}"/>
    <cellStyle name="_Style List_AZLT TSL-02 (C+D1) (MANIK)_Style Change Over YC-7H  16~21 Aprl, 2013_Base line Data-YC-15(G)" xfId="2830" xr:uid="{00000000-0005-0000-0000-00000D0B0000}"/>
    <cellStyle name="_Style List_AZLT TSL-02 (C+D1) (MANIK)_Style Change Over YC-7H  16~21 Aprl, 2013_Book1" xfId="2831" xr:uid="{00000000-0005-0000-0000-00000E0B0000}"/>
    <cellStyle name="_Style List_AZLT TSL-02 (C+D1) (MANIK)_Style Change Over YC-7H  16~21 Aprl, 2013_SK Raw data of SKB in Yc-18-(B1) 24~08 to 28-08,'2013 (version 1)1" xfId="2832" xr:uid="{00000000-0005-0000-0000-00000F0B0000}"/>
    <cellStyle name="_Style List_AZLT TSL-02 (C+D1) (MANIK)_Style Change Over YC-7H  16~21 Aprl, 2013_Style Changeover Data Information-" xfId="2833" xr:uid="{00000000-0005-0000-0000-0000100B0000}"/>
    <cellStyle name="_Style List_AZLT TSL-02 (C+D1) (MANIK)_Style Change Over YC-7H  16~21 Aprl, 2013_Style Changeover Data Information-YCL13C" xfId="2834" xr:uid="{00000000-0005-0000-0000-0000110B0000}"/>
    <cellStyle name="_Style List_AZLT TSL-02 (C+D1) (MANIK)_Style Change Over YC-9 (I)  28~02 May, 2013" xfId="2835" xr:uid="{00000000-0005-0000-0000-0000120B0000}"/>
    <cellStyle name="_Style List_AZLT TSL-02 (C+D1) (MANIK)_Style Change Over YC-9 (I)  28~02 May, 2013_Base line Data-YC-15(G)" xfId="2836" xr:uid="{00000000-0005-0000-0000-0000130B0000}"/>
    <cellStyle name="_Style List_AZLT TSL-02 (C+D1) (MANIK)_Style Change Over YC-9 (I)  28~02 May, 2013_Book1" xfId="2837" xr:uid="{00000000-0005-0000-0000-0000140B0000}"/>
    <cellStyle name="_Style List_AZLT TSL-02 (C+D1) (MANIK)_Style Change Over YC-9 (I)  28~02 May, 2013_SK Raw data of SKB in Yc-18-(B1) 24~08 to 28-08,'2013 (version 1)1" xfId="2838" xr:uid="{00000000-0005-0000-0000-0000150B0000}"/>
    <cellStyle name="_Style List_AZLT TSL-02 (C+D1) (MANIK)_Style Change Over YC-9 (I)  28~02 May, 2013_Style Changeover Data Information-" xfId="2839" xr:uid="{00000000-0005-0000-0000-0000160B0000}"/>
    <cellStyle name="_Style List_AZLT TSL-02 (C+D1) (MANIK)_Style Change Over YC-9 (I)  28~02 May, 2013_Style Changeover Data Information-YCL13C" xfId="2840" xr:uid="{00000000-0005-0000-0000-0000170B0000}"/>
    <cellStyle name="_Style List_AZLT TSL-02 (C+D1) (MANIK)_Style Changeover Data Information-YCL 9 (I)" xfId="2841" xr:uid="{00000000-0005-0000-0000-0000180B0000}"/>
    <cellStyle name="_Style List_AZLT TSL-02 (C+D1) (MANIK)_Style Changeover Data Information-YCL13C" xfId="2842" xr:uid="{00000000-0005-0000-0000-0000190B0000}"/>
    <cellStyle name="_Style List_Base Line Data YC-8(C)" xfId="2843" xr:uid="{00000000-0005-0000-0000-00001A0B0000}"/>
    <cellStyle name="_Style List_Base line Data-YC-15(G)" xfId="2844" xr:uid="{00000000-0005-0000-0000-00001B0B0000}"/>
    <cellStyle name="_Style List_Book1" xfId="2845" xr:uid="{00000000-0005-0000-0000-00001C0B0000}"/>
    <cellStyle name="_Style List_Changeover" xfId="2846" xr:uid="{00000000-0005-0000-0000-00001D0B0000}"/>
    <cellStyle name="_Style List_Changeover Format 14th November 2012" xfId="2847" xr:uid="{00000000-0005-0000-0000-00001E0B0000}"/>
    <cellStyle name="_Style List_Changeover summary 2012" xfId="2848" xr:uid="{00000000-0005-0000-0000-00001F0B0000}"/>
    <cellStyle name="_Style List_Changeover Summary'12" xfId="2849" xr:uid="{00000000-0005-0000-0000-0000200B0000}"/>
    <cellStyle name="_Style List_Copy of SASS1300133" xfId="2850" xr:uid="{00000000-0005-0000-0000-0000210B0000}"/>
    <cellStyle name="_Style List_Layout Format Updated 31st Jan 20122" xfId="2851" xr:uid="{00000000-0005-0000-0000-0000220B0000}"/>
    <cellStyle name="_Style List_Layout Format Updated 31st Jan 20123 - Copy" xfId="2852" xr:uid="{00000000-0005-0000-0000-0000230B0000}"/>
    <cellStyle name="_Style List_Qingdao Youngone GSD Reduced report" xfId="2853" xr:uid="{00000000-0005-0000-0000-0000240B0000}"/>
    <cellStyle name="_Style List_Qingdao Youngone GSD Reduced report_AZLT TSL-02 (C+D1) (MANIK)" xfId="2854" xr:uid="{00000000-0005-0000-0000-0000250B0000}"/>
    <cellStyle name="_Style List_Qingdao Youngone GSD Reduced report_AZLT TSL-02 (C+D1) (MANIK)_Style Change Over YC-7H  16~21 Aprl, 2013" xfId="2855" xr:uid="{00000000-0005-0000-0000-0000260B0000}"/>
    <cellStyle name="_Style List_Qingdao Youngone GSD Reduced report_AZLT TSL-02 (C+D1) (MANIK)_Style Change Over YC-7H  16~21 Aprl, 2013_Base line Data-YC-15(G)" xfId="2856" xr:uid="{00000000-0005-0000-0000-0000270B0000}"/>
    <cellStyle name="_Style List_Qingdao Youngone GSD Reduced report_AZLT TSL-02 (C+D1) (MANIK)_Style Change Over YC-7H  16~21 Aprl, 2013_Book1" xfId="2857" xr:uid="{00000000-0005-0000-0000-0000280B0000}"/>
    <cellStyle name="_Style List_Qingdao Youngone GSD Reduced report_AZLT TSL-02 (C+D1) (MANIK)_Style Change Over YC-7H  16~21 Aprl, 2013_Style Changeover Data Information-" xfId="2858" xr:uid="{00000000-0005-0000-0000-0000290B0000}"/>
    <cellStyle name="_Style List_Qingdao Youngone GSD Reduced report_AZLT TSL-02 (C+D1) (MANIK)_Style Change Over YC-7H  16~21 Aprl, 2013_Style Changeover Data Information-YCL13C" xfId="2859" xr:uid="{00000000-0005-0000-0000-00002A0B0000}"/>
    <cellStyle name="_Style List_Qingdao Youngone GSD Reduced report_AZLT TSL-02 (C+D1) (MANIK)_Style Change Over YC-9 (I)  28~02 May, 2013" xfId="2860" xr:uid="{00000000-0005-0000-0000-00002B0B0000}"/>
    <cellStyle name="_Style List_Qingdao Youngone GSD Reduced report_AZLT TSL-02 (C+D1) (MANIK)_Style Change Over YC-9 (I)  28~02 May, 2013_Base line Data-YC-15(G)" xfId="2861" xr:uid="{00000000-0005-0000-0000-00002C0B0000}"/>
    <cellStyle name="_Style List_Qingdao Youngone GSD Reduced report_AZLT TSL-02 (C+D1) (MANIK)_Style Change Over YC-9 (I)  28~02 May, 2013_Book1" xfId="2862" xr:uid="{00000000-0005-0000-0000-00002D0B0000}"/>
    <cellStyle name="_Style List_Qingdao Youngone GSD Reduced report_AZLT TSL-02 (C+D1) (MANIK)_Style Change Over YC-9 (I)  28~02 May, 2013_Style Changeover Data Information-" xfId="2863" xr:uid="{00000000-0005-0000-0000-00002E0B0000}"/>
    <cellStyle name="_Style List_Qingdao Youngone GSD Reduced report_AZLT TSL-02 (C+D1) (MANIK)_Style Change Over YC-9 (I)  28~02 May, 2013_Style Changeover Data Information-YCL13C" xfId="2864" xr:uid="{00000000-0005-0000-0000-00002F0B0000}"/>
    <cellStyle name="_Style List_Qingdao Youngone GSD Reduced report_Layout Format Updated 31st Jan 20122" xfId="2865" xr:uid="{00000000-0005-0000-0000-0000300B0000}"/>
    <cellStyle name="_Style List_SASS1300078" xfId="2866" xr:uid="{00000000-0005-0000-0000-0000310B0000}"/>
    <cellStyle name="_Style List_Sc11 Ks-4 A" xfId="2867" xr:uid="{00000000-0005-0000-0000-0000320B0000}"/>
    <cellStyle name="_Style List_SK Raw data of SKB in Yc-18-(B1) 24~08 to 28-08,'2013 (version 1)1" xfId="2868" xr:uid="{00000000-0005-0000-0000-0000330B0000}"/>
    <cellStyle name="_Style List_SK Raw data of SKB in Yc-8-(J) 01~05 Dec'2012" xfId="2869" xr:uid="{00000000-0005-0000-0000-0000340B0000}"/>
    <cellStyle name="_Style List_SK Raw data of SKB in Yc-8-(J) 01~05 Dec'2012_Base line Data-YC-15(G)" xfId="2870" xr:uid="{00000000-0005-0000-0000-0000350B0000}"/>
    <cellStyle name="_Style List_SK Raw data of SKB in Yc-8-(J) 01~05 Dec'2012_Book1" xfId="2871" xr:uid="{00000000-0005-0000-0000-0000360B0000}"/>
    <cellStyle name="_Style List_SK Raw data of SKB in Yc-8-(J) 01~05 Dec'2012_SK Raw data of SKB in Yc-18-(B1) 24~08 to 28-08,'2013 (version 1)1" xfId="2872" xr:uid="{00000000-0005-0000-0000-0000370B0000}"/>
    <cellStyle name="_Style List_SK Raw data of SKB in Yc-8-(J) 01~05 Dec'2012_Style Changeover Data Information-" xfId="2873" xr:uid="{00000000-0005-0000-0000-0000380B0000}"/>
    <cellStyle name="_Style List_SK Raw data of SKB in Yc-8-(J) 01~05 Dec'2012_Style Changeover Data Information-YCL13C" xfId="2874" xr:uid="{00000000-0005-0000-0000-0000390B0000}"/>
    <cellStyle name="_Style List_SKB(Sewing Kaizen - YCL 14 (A)" xfId="2875" xr:uid="{00000000-0005-0000-0000-00003A0B0000}"/>
    <cellStyle name="_Style List_SQDC Board format (revised)-2013" xfId="2876" xr:uid="{00000000-0005-0000-0000-00003B0B0000}"/>
    <cellStyle name="_Style List_Style Change Over YC-7H  16~21 Aprl, 2013" xfId="2877" xr:uid="{00000000-0005-0000-0000-00003C0B0000}"/>
    <cellStyle name="_Style List_Style Change Over YC-7H  16~21 Aprl, 2013_Base line Data-YC-15(G)" xfId="2878" xr:uid="{00000000-0005-0000-0000-00003D0B0000}"/>
    <cellStyle name="_Style List_Style Change Over YC-7H  16~21 Aprl, 2013_Book1" xfId="2879" xr:uid="{00000000-0005-0000-0000-00003E0B0000}"/>
    <cellStyle name="_Style List_Style Change Over YC-7H  16~21 Aprl, 2013_SK Raw data of SKB in Yc-18-(B1) 24~08 to 28-08,'2013 (version 1)1" xfId="2880" xr:uid="{00000000-0005-0000-0000-00003F0B0000}"/>
    <cellStyle name="_Style List_Style Change Over YC-7H  16~21 Aprl, 2013_Style Changeover Data Information-" xfId="2881" xr:uid="{00000000-0005-0000-0000-0000400B0000}"/>
    <cellStyle name="_Style List_Style Change Over YC-7H  16~21 Aprl, 2013_Style Changeover Data Information-YCL13C" xfId="2882" xr:uid="{00000000-0005-0000-0000-0000410B0000}"/>
    <cellStyle name="_Style List_Style Change Over YC-9 (I)  28~02 May, 2013" xfId="2883" xr:uid="{00000000-0005-0000-0000-0000420B0000}"/>
    <cellStyle name="_Style List_Style Change Over YC-9 (I)  28~02 May, 2013_Base line Data-YC-15(G)" xfId="2884" xr:uid="{00000000-0005-0000-0000-0000430B0000}"/>
    <cellStyle name="_Style List_Style Change Over YC-9 (I)  28~02 May, 2013_Book1" xfId="2885" xr:uid="{00000000-0005-0000-0000-0000440B0000}"/>
    <cellStyle name="_Style List_Style Change Over YC-9 (I)  28~02 May, 2013_SK Raw data of SKB in Yc-18-(B1) 24~08 to 28-08,'2013 (version 1)1" xfId="2886" xr:uid="{00000000-0005-0000-0000-0000450B0000}"/>
    <cellStyle name="_Style List_Style Change Over YC-9 (I)  28~02 May, 2013_Style Changeover Data Information-" xfId="2887" xr:uid="{00000000-0005-0000-0000-0000460B0000}"/>
    <cellStyle name="_Style List_Style Change Over YC-9 (I)  28~02 May, 2013_Style Changeover Data Information-YCL13C" xfId="2888" xr:uid="{00000000-0005-0000-0000-0000470B0000}"/>
    <cellStyle name="_Style List_Style Changeover Data Information-" xfId="2889" xr:uid="{00000000-0005-0000-0000-0000480B0000}"/>
    <cellStyle name="_Style List_Style Changeover Data Information-YCL 9 (I)" xfId="2890" xr:uid="{00000000-0005-0000-0000-0000490B0000}"/>
    <cellStyle name="_Style List_Style Changeover Data Information-YCL13C" xfId="2891" xr:uid="{00000000-0005-0000-0000-00004A0B0000}"/>
    <cellStyle name="_Style List_Xl0000004" xfId="2892" xr:uid="{00000000-0005-0000-0000-00004B0B0000}"/>
    <cellStyle name="_Style List_Xl0000007" xfId="2893" xr:uid="{00000000-0005-0000-0000-00004C0B0000}"/>
    <cellStyle name="_Weekly efficiency graph'09(Wor 2-)" xfId="2894" xr:uid="{00000000-0005-0000-0000-00004D0B0000}"/>
    <cellStyle name="_Weekly efficiency graph'09(Wor 2-) 2" xfId="2895" xr:uid="{00000000-0005-0000-0000-00004E0B0000}"/>
    <cellStyle name="_Weekly efficiency graph'09(Wor 2-)1" xfId="2896" xr:uid="{00000000-0005-0000-0000-00004F0B0000}"/>
    <cellStyle name="_Weekly efficiency graph'09(Wor 2-)1 2" xfId="2897" xr:uid="{00000000-0005-0000-0000-0000500B0000}"/>
    <cellStyle name="_Weekly efficiency graph'09(Wor 2-)10" xfId="2898" xr:uid="{00000000-0005-0000-0000-0000510B0000}"/>
    <cellStyle name="_Weekly efficiency graph'09(Wor 2-)10 2" xfId="2899" xr:uid="{00000000-0005-0000-0000-0000520B0000}"/>
    <cellStyle name="_Weekly efficiency graph'09(Wor 2-)11" xfId="2900" xr:uid="{00000000-0005-0000-0000-0000530B0000}"/>
    <cellStyle name="_Weekly efficiency graph'09(Wor 2-)11 2" xfId="2901" xr:uid="{00000000-0005-0000-0000-0000540B0000}"/>
    <cellStyle name="_Weekly efficiency graph'09(Wor 2-)12" xfId="2902" xr:uid="{00000000-0005-0000-0000-0000550B0000}"/>
    <cellStyle name="_Weekly efficiency graph'09(Wor 2-)12 2" xfId="2903" xr:uid="{00000000-0005-0000-0000-0000560B0000}"/>
    <cellStyle name="_Weekly efficiency graph'09(Wor 2-)13" xfId="2904" xr:uid="{00000000-0005-0000-0000-0000570B0000}"/>
    <cellStyle name="_Weekly efficiency graph'09(Wor 2-)13 2" xfId="2905" xr:uid="{00000000-0005-0000-0000-0000580B0000}"/>
    <cellStyle name="_Weekly efficiency graph'09(Wor 2-)14" xfId="2906" xr:uid="{00000000-0005-0000-0000-0000590B0000}"/>
    <cellStyle name="_Weekly efficiency graph'09(Wor 2-)14 2" xfId="2907" xr:uid="{00000000-0005-0000-0000-00005A0B0000}"/>
    <cellStyle name="_Weekly efficiency graph'09(Wor 2-)15" xfId="2908" xr:uid="{00000000-0005-0000-0000-00005B0B0000}"/>
    <cellStyle name="_Weekly efficiency graph'09(Wor 2-)15 2" xfId="2909" xr:uid="{00000000-0005-0000-0000-00005C0B0000}"/>
    <cellStyle name="_Weekly efficiency graph'09(Wor 2-)16" xfId="2910" xr:uid="{00000000-0005-0000-0000-00005D0B0000}"/>
    <cellStyle name="_Weekly efficiency graph'09(Wor 2-)16 2" xfId="2911" xr:uid="{00000000-0005-0000-0000-00005E0B0000}"/>
    <cellStyle name="_Weekly efficiency graph'09(Wor 2-)17" xfId="2912" xr:uid="{00000000-0005-0000-0000-00005F0B0000}"/>
    <cellStyle name="_Weekly efficiency graph'09(Wor 2-)17 2" xfId="2913" xr:uid="{00000000-0005-0000-0000-0000600B0000}"/>
    <cellStyle name="_Weekly efficiency graph'09(Wor 2-)18" xfId="2914" xr:uid="{00000000-0005-0000-0000-0000610B0000}"/>
    <cellStyle name="_Weekly efficiency graph'09(Wor 2-)18 2" xfId="2915" xr:uid="{00000000-0005-0000-0000-0000620B0000}"/>
    <cellStyle name="_Weekly efficiency graph'09(Wor 2-)19" xfId="2916" xr:uid="{00000000-0005-0000-0000-0000630B0000}"/>
    <cellStyle name="_Weekly efficiency graph'09(Wor 2-)19 2" xfId="2917" xr:uid="{00000000-0005-0000-0000-0000640B0000}"/>
    <cellStyle name="_Weekly efficiency graph'09(Wor 2-)2" xfId="2918" xr:uid="{00000000-0005-0000-0000-0000650B0000}"/>
    <cellStyle name="_Weekly efficiency graph'09(Wor 2-)2 2" xfId="2919" xr:uid="{00000000-0005-0000-0000-0000660B0000}"/>
    <cellStyle name="_Weekly efficiency graph'09(Wor 2-)20" xfId="2920" xr:uid="{00000000-0005-0000-0000-0000670B0000}"/>
    <cellStyle name="_Weekly efficiency graph'09(Wor 2-)20 2" xfId="2921" xr:uid="{00000000-0005-0000-0000-0000680B0000}"/>
    <cellStyle name="_Weekly efficiency graph'09(Wor 2-)3" xfId="2922" xr:uid="{00000000-0005-0000-0000-0000690B0000}"/>
    <cellStyle name="_Weekly efficiency graph'09(Wor 2-)3 2" xfId="2923" xr:uid="{00000000-0005-0000-0000-00006A0B0000}"/>
    <cellStyle name="_Weekly efficiency graph'09(Wor 2-)4" xfId="2924" xr:uid="{00000000-0005-0000-0000-00006B0B0000}"/>
    <cellStyle name="_Weekly efficiency graph'09(Wor 2-)4 2" xfId="2925" xr:uid="{00000000-0005-0000-0000-00006C0B0000}"/>
    <cellStyle name="_Weekly efficiency graph'09(Wor 2-)5" xfId="2926" xr:uid="{00000000-0005-0000-0000-00006D0B0000}"/>
    <cellStyle name="_Weekly efficiency graph'09(Wor 2-)5 2" xfId="2927" xr:uid="{00000000-0005-0000-0000-00006E0B0000}"/>
    <cellStyle name="_Weekly efficiency graph'09(Wor 2-)6" xfId="2928" xr:uid="{00000000-0005-0000-0000-00006F0B0000}"/>
    <cellStyle name="_Weekly efficiency graph'09(Wor 2-)6 2" xfId="2929" xr:uid="{00000000-0005-0000-0000-0000700B0000}"/>
    <cellStyle name="_Weekly efficiency graph'09(Wor 2-)7" xfId="2930" xr:uid="{00000000-0005-0000-0000-0000710B0000}"/>
    <cellStyle name="_Weekly efficiency graph'09(Wor 2-)7 2" xfId="2931" xr:uid="{00000000-0005-0000-0000-0000720B0000}"/>
    <cellStyle name="_Weekly efficiency graph'09(Wor 2-)8" xfId="2932" xr:uid="{00000000-0005-0000-0000-0000730B0000}"/>
    <cellStyle name="_Weekly efficiency graph'09(Wor 2-)8 2" xfId="2933" xr:uid="{00000000-0005-0000-0000-0000740B0000}"/>
    <cellStyle name="_Weekly efficiency graph'09(Wor 2-)9" xfId="2934" xr:uid="{00000000-0005-0000-0000-0000750B0000}"/>
    <cellStyle name="_Weekly efficiency graph'09(Wor 2-)9 2" xfId="2935" xr:uid="{00000000-0005-0000-0000-0000760B0000}"/>
    <cellStyle name="_Weekly efficiency graph'10" xfId="2936" xr:uid="{00000000-0005-0000-0000-0000770B0000}"/>
    <cellStyle name="_Weekly efficiency graph'10 (Wor 2-)" xfId="2937" xr:uid="{00000000-0005-0000-0000-0000780B0000}"/>
    <cellStyle name="_Weekly efficiency graph'10 (Wor 2-) 2" xfId="2938" xr:uid="{00000000-0005-0000-0000-0000790B0000}"/>
    <cellStyle name="_Weekly efficiency graph'10 (Wor 2-)1" xfId="2939" xr:uid="{00000000-0005-0000-0000-00007A0B0000}"/>
    <cellStyle name="_Weekly efficiency graph'10 (Wor 2-)1 2" xfId="2940" xr:uid="{00000000-0005-0000-0000-00007B0B0000}"/>
    <cellStyle name="_Weekly efficiency graph'10 (Wor 2-)11" xfId="2941" xr:uid="{00000000-0005-0000-0000-00007C0B0000}"/>
    <cellStyle name="_Weekly efficiency graph'10 (Wor 2-)11 2" xfId="2942" xr:uid="{00000000-0005-0000-0000-00007D0B0000}"/>
    <cellStyle name="_Weekly efficiency graph'10 (Wor 2-)12" xfId="2943" xr:uid="{00000000-0005-0000-0000-00007E0B0000}"/>
    <cellStyle name="_Weekly efficiency graph'10 (Wor 2-)12 2" xfId="2944" xr:uid="{00000000-0005-0000-0000-00007F0B0000}"/>
    <cellStyle name="_Weekly efficiency graph'10 (Wor 2-)13" xfId="2945" xr:uid="{00000000-0005-0000-0000-0000800B0000}"/>
    <cellStyle name="_Weekly efficiency graph'10 (Wor 2-)13 2" xfId="2946" xr:uid="{00000000-0005-0000-0000-0000810B0000}"/>
    <cellStyle name="_Weekly efficiency graph'10 (Wor 2-)2" xfId="2947" xr:uid="{00000000-0005-0000-0000-0000820B0000}"/>
    <cellStyle name="_Weekly efficiency graph'10 (Wor 2-)2 2" xfId="2948" xr:uid="{00000000-0005-0000-0000-0000830B0000}"/>
    <cellStyle name="_Weekly efficiency graph'10 (Wor 2-)3" xfId="2949" xr:uid="{00000000-0005-0000-0000-0000840B0000}"/>
    <cellStyle name="_Weekly efficiency graph'10 (Wor 2-)3 2" xfId="2950" xr:uid="{00000000-0005-0000-0000-0000850B0000}"/>
    <cellStyle name="_Weekly efficiency graph'10 (Wor 2-)4" xfId="2951" xr:uid="{00000000-0005-0000-0000-0000860B0000}"/>
    <cellStyle name="_Weekly efficiency graph'10 (Wor 2-)4 2" xfId="2952" xr:uid="{00000000-0005-0000-0000-0000870B0000}"/>
    <cellStyle name="_Weekly efficiency graph'10 (Wor 2-)5" xfId="2953" xr:uid="{00000000-0005-0000-0000-0000880B0000}"/>
    <cellStyle name="_Weekly efficiency graph'10 (Wor 2-)5 2" xfId="2954" xr:uid="{00000000-0005-0000-0000-0000890B0000}"/>
    <cellStyle name="_Weekly efficiency graph'10 (Wor 2-)6" xfId="2955" xr:uid="{00000000-0005-0000-0000-00008A0B0000}"/>
    <cellStyle name="_Weekly efficiency graph'10 (Wor 2-)6 2" xfId="2956" xr:uid="{00000000-0005-0000-0000-00008B0B0000}"/>
    <cellStyle name="_Weekly efficiency graph'10 (Wor 2-)7" xfId="2957" xr:uid="{00000000-0005-0000-0000-00008C0B0000}"/>
    <cellStyle name="_Weekly efficiency graph'10 (Wor 2-)7 2" xfId="2958" xr:uid="{00000000-0005-0000-0000-00008D0B0000}"/>
    <cellStyle name="_Weekly efficiency graph'10 (Wor 2-)8" xfId="2959" xr:uid="{00000000-0005-0000-0000-00008E0B0000}"/>
    <cellStyle name="_Weekly efficiency graph'10 (Wor 2-)8 2" xfId="2960" xr:uid="{00000000-0005-0000-0000-00008F0B0000}"/>
    <cellStyle name="_Weekly efficiency graph'10 )" xfId="2961" xr:uid="{00000000-0005-0000-0000-0000900B0000}"/>
    <cellStyle name="_Weekly efficiency graph'10 ) 2" xfId="2962" xr:uid="{00000000-0005-0000-0000-0000910B0000}"/>
    <cellStyle name="_Weekly efficiency graph'10 )1" xfId="2963" xr:uid="{00000000-0005-0000-0000-0000920B0000}"/>
    <cellStyle name="_Weekly efficiency graph'10 )1 2" xfId="2964" xr:uid="{00000000-0005-0000-0000-0000930B0000}"/>
    <cellStyle name="_Weekly efficiency graph'10 )2" xfId="2965" xr:uid="{00000000-0005-0000-0000-0000940B0000}"/>
    <cellStyle name="_Weekly efficiency graph'10 )2 2" xfId="2966" xr:uid="{00000000-0005-0000-0000-0000950B0000}"/>
    <cellStyle name="_Weekly efficiency graph'10 )3" xfId="2967" xr:uid="{00000000-0005-0000-0000-0000960B0000}"/>
    <cellStyle name="_Weekly efficiency graph'10 )3 2" xfId="2968" xr:uid="{00000000-0005-0000-0000-0000970B0000}"/>
    <cellStyle name="_Weekly efficiency graph'10 )4" xfId="2969" xr:uid="{00000000-0005-0000-0000-0000980B0000}"/>
    <cellStyle name="_Weekly efficiency graph'10 )4 2" xfId="2970" xr:uid="{00000000-0005-0000-0000-0000990B0000}"/>
    <cellStyle name="_Weekly efficiency graph'10 )5" xfId="2971" xr:uid="{00000000-0005-0000-0000-00009A0B0000}"/>
    <cellStyle name="_Weekly efficiency graph'10 )5 2" xfId="2972" xr:uid="{00000000-0005-0000-0000-00009B0B0000}"/>
    <cellStyle name="_Weekly efficiency graph'10 )6" xfId="2973" xr:uid="{00000000-0005-0000-0000-00009C0B0000}"/>
    <cellStyle name="_Weekly efficiency graph'10 )6 2" xfId="2974" xr:uid="{00000000-0005-0000-0000-00009D0B0000}"/>
    <cellStyle name="_Weekly efficiency graph'10 2" xfId="2975" xr:uid="{00000000-0005-0000-0000-00009E0B0000}"/>
    <cellStyle name="_Weekly efficiency graph'101" xfId="2976" xr:uid="{00000000-0005-0000-0000-00009F0B0000}"/>
    <cellStyle name="_Weekly efficiency graph'101 2" xfId="2977" xr:uid="{00000000-0005-0000-0000-0000A00B0000}"/>
    <cellStyle name="_Weekly efficiency graph'1010" xfId="2978" xr:uid="{00000000-0005-0000-0000-0000A10B0000}"/>
    <cellStyle name="_Weekly efficiency graph'1010 2" xfId="2979" xr:uid="{00000000-0005-0000-0000-0000A20B0000}"/>
    <cellStyle name="_Weekly efficiency graph'1011" xfId="2980" xr:uid="{00000000-0005-0000-0000-0000A30B0000}"/>
    <cellStyle name="_Weekly efficiency graph'1011 2" xfId="2981" xr:uid="{00000000-0005-0000-0000-0000A40B0000}"/>
    <cellStyle name="_Weekly efficiency graph'102" xfId="2982" xr:uid="{00000000-0005-0000-0000-0000A50B0000}"/>
    <cellStyle name="_Weekly efficiency graph'102 2" xfId="2983" xr:uid="{00000000-0005-0000-0000-0000A60B0000}"/>
    <cellStyle name="_Weekly efficiency graph'103" xfId="2984" xr:uid="{00000000-0005-0000-0000-0000A70B0000}"/>
    <cellStyle name="_Weekly efficiency graph'103 2" xfId="2985" xr:uid="{00000000-0005-0000-0000-0000A80B0000}"/>
    <cellStyle name="_Weekly efficiency graph'104" xfId="2986" xr:uid="{00000000-0005-0000-0000-0000A90B0000}"/>
    <cellStyle name="_Weekly efficiency graph'104 2" xfId="2987" xr:uid="{00000000-0005-0000-0000-0000AA0B0000}"/>
    <cellStyle name="_Weekly efficiency graph'105" xfId="2988" xr:uid="{00000000-0005-0000-0000-0000AB0B0000}"/>
    <cellStyle name="_Weekly efficiency graph'105 2" xfId="2989" xr:uid="{00000000-0005-0000-0000-0000AC0B0000}"/>
    <cellStyle name="_Weekly efficiency graph'106" xfId="2990" xr:uid="{00000000-0005-0000-0000-0000AD0B0000}"/>
    <cellStyle name="_Weekly efficiency graph'106 2" xfId="2991" xr:uid="{00000000-0005-0000-0000-0000AE0B0000}"/>
    <cellStyle name="_Weekly efficiency graph'107" xfId="2992" xr:uid="{00000000-0005-0000-0000-0000AF0B0000}"/>
    <cellStyle name="_Weekly efficiency graph'107 2" xfId="2993" xr:uid="{00000000-0005-0000-0000-0000B00B0000}"/>
    <cellStyle name="_Weekly efficiency graph'108" xfId="2994" xr:uid="{00000000-0005-0000-0000-0000B10B0000}"/>
    <cellStyle name="_Weekly efficiency graph'108 2" xfId="2995" xr:uid="{00000000-0005-0000-0000-0000B20B0000}"/>
    <cellStyle name="_Weekly efficiency graph'109" xfId="2996" xr:uid="{00000000-0005-0000-0000-0000B30B0000}"/>
    <cellStyle name="_Weekly efficiency graph'109 2" xfId="2997" xr:uid="{00000000-0005-0000-0000-0000B40B0000}"/>
    <cellStyle name="_YC_8 F Raw data" xfId="2998" xr:uid="{00000000-0005-0000-0000-0000B50B0000}"/>
    <cellStyle name="_YC_8 F Raw data_After 5's" xfId="2999" xr:uid="{00000000-0005-0000-0000-0000B60B0000}"/>
    <cellStyle name="_YC_8 F Raw data_Base Line Data YC-8(C)" xfId="3000" xr:uid="{00000000-0005-0000-0000-0000B70B0000}"/>
    <cellStyle name="_YC_8 F Raw data_Base line Data-YC-15(G)" xfId="3001" xr:uid="{00000000-0005-0000-0000-0000B80B0000}"/>
    <cellStyle name="_YC_8 F Raw data_Before 5's YC-8(C)" xfId="3002" xr:uid="{00000000-0005-0000-0000-0000B90B0000}"/>
    <cellStyle name="_YC_8 F Raw data_Book1" xfId="3003" xr:uid="{00000000-0005-0000-0000-0000BA0B0000}"/>
    <cellStyle name="_YC_8 F Raw data_Copy of SK Raw data of SKB in Yc-6-(C) 26~31Jan '20131" xfId="3004" xr:uid="{00000000-0005-0000-0000-0000BB0B0000}"/>
    <cellStyle name="_YC_8 F Raw data_Flow Chart YC-8(C) Before1" xfId="3005" xr:uid="{00000000-0005-0000-0000-0000BC0B0000}"/>
    <cellStyle name="_YC_8 F Raw data_Graph-6B3" xfId="3006" xr:uid="{00000000-0005-0000-0000-0000BD0B0000}"/>
    <cellStyle name="_YC_8 F Raw data_Graph-6B4" xfId="3007" xr:uid="{00000000-0005-0000-0000-0000BE0B0000}"/>
    <cellStyle name="_YC_8 F Raw data_Graph-6B5" xfId="3008" xr:uid="{00000000-0005-0000-0000-0000BF0B0000}"/>
    <cellStyle name="_YC_8 F Raw data_MFC(Yc 10C)" xfId="3009" xr:uid="{00000000-0005-0000-0000-0000C00B0000}"/>
    <cellStyle name="_YC_8 F Raw data_OCT Graph A1" xfId="3010" xr:uid="{00000000-0005-0000-0000-0000C10B0000}"/>
    <cellStyle name="_YC_8 F Raw data_peroto Chart YC-8" xfId="3011" xr:uid="{00000000-0005-0000-0000-0000C20B0000}"/>
    <cellStyle name="_YC_8 F Raw data_SK Raw data of SKB in Yc-8-(J) 01~05 Dec'2012" xfId="3012" xr:uid="{00000000-0005-0000-0000-0000C30B0000}"/>
    <cellStyle name="_YC_8 F Raw data_SK Raw data of SKB in Yc-8-(J) 01~05 Dec'2012_Base line Data-YC-15(G)" xfId="3013" xr:uid="{00000000-0005-0000-0000-0000C40B0000}"/>
    <cellStyle name="_YC_8 F Raw data_SK Raw data of SKB in Yc-8-(J) 01~05 Dec'2012_Book1" xfId="3014" xr:uid="{00000000-0005-0000-0000-0000C50B0000}"/>
    <cellStyle name="_YC_8 F Raw data_SK Raw data of SKB in Yc-8-(J) 01~05 Dec'2012_Style Changeover Data Information-" xfId="3015" xr:uid="{00000000-0005-0000-0000-0000C60B0000}"/>
    <cellStyle name="_YC_8 F Raw data_SK Raw data of SKB in Yc-8-(J) 01~05 Dec'2012_Style Changeover Data Information-YCL13C" xfId="3016" xr:uid="{00000000-0005-0000-0000-0000C70B0000}"/>
    <cellStyle name="_YC_8 F Raw data_SKB RAW DATA" xfId="3017" xr:uid="{00000000-0005-0000-0000-0000C80B0000}"/>
    <cellStyle name="_YC_8 F Raw data_SKB YC-8(J)" xfId="3018" xr:uid="{00000000-0005-0000-0000-0000C90B0000}"/>
    <cellStyle name="_YC_8 F Raw data_SKB(Sewing Kaizen - YCL 14 (A)" xfId="3019" xr:uid="{00000000-0005-0000-0000-0000CA0B0000}"/>
    <cellStyle name="_YC_8 F Raw data_SQDC Board format (revised)-2013" xfId="3020" xr:uid="{00000000-0005-0000-0000-0000CB0B0000}"/>
    <cellStyle name="_YC_8 F Raw data_Style Change Over YC-6 E 23~227 Mar, 2013" xfId="3021" xr:uid="{00000000-0005-0000-0000-0000CC0B0000}"/>
    <cellStyle name="_YC_8 F Raw data_Style Change Over YC-7H  16~21 Aprl, 2013" xfId="3022" xr:uid="{00000000-0005-0000-0000-0000CD0B0000}"/>
    <cellStyle name="_YC_8 F Raw data_Style Changeover Data Information-" xfId="3023" xr:uid="{00000000-0005-0000-0000-0000CE0B0000}"/>
    <cellStyle name="_YC_8 F Raw data_Xl0000034" xfId="3024" xr:uid="{00000000-0005-0000-0000-0000CF0B0000}"/>
    <cellStyle name="_YC_8 F Raw data_Yc-9E" xfId="3025" xr:uid="{00000000-0005-0000-0000-0000D00B0000}"/>
    <cellStyle name="_YC_8 F Raw data_Yc-9E_Style Change Over YC-7H  16~21 Aprl, 2013" xfId="3026" xr:uid="{00000000-0005-0000-0000-0000D10B0000}"/>
    <cellStyle name="_YC_8 F Raw data_Yc-9E_Style Change Over YC-7H  16~21 Aprl, 2013_Base line Data-YC-15(G)" xfId="3027" xr:uid="{00000000-0005-0000-0000-0000D20B0000}"/>
    <cellStyle name="_YC_8 F Raw data_Yc-9E_Style Change Over YC-7H  16~21 Aprl, 2013_Book1" xfId="3028" xr:uid="{00000000-0005-0000-0000-0000D30B0000}"/>
    <cellStyle name="_YC_8 F Raw data_Yc-9E_Style Change Over YC-7H  16~21 Aprl, 2013_Style Changeover Data Information-" xfId="3029" xr:uid="{00000000-0005-0000-0000-0000D40B0000}"/>
    <cellStyle name="_YC_8 F Raw data_Yc-9E_Style Change Over YC-7H  16~21 Aprl, 2013_Style Changeover Data Information-YCL13C" xfId="3030" xr:uid="{00000000-0005-0000-0000-0000D50B0000}"/>
    <cellStyle name="_YC_8 F Raw data_Yc-9E_Style Change Over YC-9 (I)  28~02 May, 2013" xfId="3031" xr:uid="{00000000-0005-0000-0000-0000D60B0000}"/>
    <cellStyle name="_YC_8 F Raw data_Yc-9E_Style Change Over YC-9 (I)  28~02 May, 2013_Base line Data-YC-15(G)" xfId="3032" xr:uid="{00000000-0005-0000-0000-0000D70B0000}"/>
    <cellStyle name="_YC_8 F Raw data_Yc-9E_Style Change Over YC-9 (I)  28~02 May, 2013_Book1" xfId="3033" xr:uid="{00000000-0005-0000-0000-0000D80B0000}"/>
    <cellStyle name="_YC_8 F Raw data_Yc-9E_Style Change Over YC-9 (I)  28~02 May, 2013_Style Changeover Data Information-" xfId="3034" xr:uid="{00000000-0005-0000-0000-0000D90B0000}"/>
    <cellStyle name="_YC_8 F Raw data_Yc-9E_Style Change Over YC-9 (I)  28~02 May, 2013_Style Changeover Data Information-YCL13C" xfId="3035" xr:uid="{00000000-0005-0000-0000-0000DA0B0000}"/>
    <cellStyle name="_YC_8 F Raw data_Yc-9E1" xfId="3036" xr:uid="{00000000-0005-0000-0000-0000DB0B0000}"/>
    <cellStyle name="_YC_8 F Raw data_Yc-9E1_Style Change Over YC-7H  16~21 Aprl, 2013" xfId="3037" xr:uid="{00000000-0005-0000-0000-0000DC0B0000}"/>
    <cellStyle name="_YC_8 F Raw data_Yc-9E1_Style Change Over YC-7H  16~21 Aprl, 2013_Base line Data-YC-15(G)" xfId="3038" xr:uid="{00000000-0005-0000-0000-0000DD0B0000}"/>
    <cellStyle name="_YC_8 F Raw data_Yc-9E1_Style Change Over YC-7H  16~21 Aprl, 2013_Book1" xfId="3039" xr:uid="{00000000-0005-0000-0000-0000DE0B0000}"/>
    <cellStyle name="_YC_8 F Raw data_Yc-9E1_Style Change Over YC-7H  16~21 Aprl, 2013_Style Changeover Data Information-" xfId="3040" xr:uid="{00000000-0005-0000-0000-0000DF0B0000}"/>
    <cellStyle name="_YC_8 F Raw data_Yc-9E1_Style Change Over YC-7H  16~21 Aprl, 2013_Style Changeover Data Information-YCL13C" xfId="3041" xr:uid="{00000000-0005-0000-0000-0000E00B0000}"/>
    <cellStyle name="_YC_8 F Raw data_Yc-9E1_Style Change Over YC-9 (I)  28~02 May, 2013" xfId="3042" xr:uid="{00000000-0005-0000-0000-0000E10B0000}"/>
    <cellStyle name="_YC_8 F Raw data_Yc-9E1_Style Change Over YC-9 (I)  28~02 May, 2013_Base line Data-YC-15(G)" xfId="3043" xr:uid="{00000000-0005-0000-0000-0000E20B0000}"/>
    <cellStyle name="_YC_8 F Raw data_Yc-9E1_Style Change Over YC-9 (I)  28~02 May, 2013_Book1" xfId="3044" xr:uid="{00000000-0005-0000-0000-0000E30B0000}"/>
    <cellStyle name="_YC_8 F Raw data_Yc-9E1_Style Change Over YC-9 (I)  28~02 May, 2013_Style Changeover Data Information-" xfId="3045" xr:uid="{00000000-0005-0000-0000-0000E40B0000}"/>
    <cellStyle name="_YC_8 F Raw data_Yc-9E1_Style Change Over YC-9 (I)  28~02 May, 2013_Style Changeover Data Information-YCL13C" xfId="3046" xr:uid="{00000000-0005-0000-0000-0000E50B0000}"/>
    <cellStyle name="_YC_8(E+Mod)Raw data1" xfId="3047" xr:uid="{00000000-0005-0000-0000-0000E60B0000}"/>
    <cellStyle name="_YC_8(E+Mod)Raw data1_Graph-Ycl-8-H+G1" xfId="3048" xr:uid="{00000000-0005-0000-0000-0000E70B0000}"/>
    <cellStyle name="_YC_8(E+Mod)Raw data1_MATERIAL FLOW CHART (BEFORE)1" xfId="3049" xr:uid="{00000000-0005-0000-0000-0000E80B0000}"/>
    <cellStyle name="_YC_8(E+Mod)Raw data1_MATERIAL FLOW CHART (BEFORE)1_After 5's" xfId="3050" xr:uid="{00000000-0005-0000-0000-0000E90B0000}"/>
    <cellStyle name="_YC_8(E+Mod)Raw data1_MATERIAL FLOW CHART (BEFORE)1_Base Line Data YC-8(C)" xfId="3051" xr:uid="{00000000-0005-0000-0000-0000EA0B0000}"/>
    <cellStyle name="_YC_8(E+Mod)Raw data1_MATERIAL FLOW CHART (BEFORE)1_Base line Data-YC-15(G)" xfId="3052" xr:uid="{00000000-0005-0000-0000-0000EB0B0000}"/>
    <cellStyle name="_YC_8(E+Mod)Raw data1_MATERIAL FLOW CHART (BEFORE)1_Book1" xfId="3053" xr:uid="{00000000-0005-0000-0000-0000EC0B0000}"/>
    <cellStyle name="_YC_8(E+Mod)Raw data1_MATERIAL FLOW CHART (BEFORE)1_Copy of SK Raw data of SKB in Yc-6-(C) 26~31Jan '20131" xfId="3054" xr:uid="{00000000-0005-0000-0000-0000ED0B0000}"/>
    <cellStyle name="_YC_8(E+Mod)Raw data1_MATERIAL FLOW CHART (BEFORE)1_Flow Chart YC-8(C) Before1" xfId="3055" xr:uid="{00000000-0005-0000-0000-0000EE0B0000}"/>
    <cellStyle name="_YC_8(E+Mod)Raw data1_MATERIAL FLOW CHART (BEFORE)1_OCT Graph A1" xfId="3056" xr:uid="{00000000-0005-0000-0000-0000EF0B0000}"/>
    <cellStyle name="_YC_8(E+Mod)Raw data1_MATERIAL FLOW CHART (BEFORE)1_SK Raw data of SKB in Yc-8-(J) 01~05 Dec'2012" xfId="3057" xr:uid="{00000000-0005-0000-0000-0000F00B0000}"/>
    <cellStyle name="_YC_8(E+Mod)Raw data1_MATERIAL FLOW CHART (BEFORE)1_SK Raw data of SKB in Yc-8-(J) 01~05 Dec'2012_Base line Data-YC-15(G)" xfId="3058" xr:uid="{00000000-0005-0000-0000-0000F10B0000}"/>
    <cellStyle name="_YC_8(E+Mod)Raw data1_MATERIAL FLOW CHART (BEFORE)1_SK Raw data of SKB in Yc-8-(J) 01~05 Dec'2012_Book1" xfId="3059" xr:uid="{00000000-0005-0000-0000-0000F20B0000}"/>
    <cellStyle name="_YC_8(E+Mod)Raw data1_MATERIAL FLOW CHART (BEFORE)1_SK Raw data of SKB in Yc-8-(J) 01~05 Dec'2012_Style Changeover Data Information-" xfId="3060" xr:uid="{00000000-0005-0000-0000-0000F30B0000}"/>
    <cellStyle name="_YC_8(E+Mod)Raw data1_MATERIAL FLOW CHART (BEFORE)1_SK Raw data of SKB in Yc-8-(J) 01~05 Dec'2012_Style Changeover Data Information-YCL13C" xfId="3061" xr:uid="{00000000-0005-0000-0000-0000F40B0000}"/>
    <cellStyle name="_YC_8(E+Mod)Raw data1_MATERIAL FLOW CHART (BEFORE)1_SKB RAW DATA" xfId="3062" xr:uid="{00000000-0005-0000-0000-0000F50B0000}"/>
    <cellStyle name="_YC_8(E+Mod)Raw data1_MATERIAL FLOW CHART (BEFORE)1_SKB YC-8(J)" xfId="3063" xr:uid="{00000000-0005-0000-0000-0000F60B0000}"/>
    <cellStyle name="_YC_8(E+Mod)Raw data1_MATERIAL FLOW CHART (BEFORE)1_SKB(Sewing Kaizen - YCL 14 (A)" xfId="3064" xr:uid="{00000000-0005-0000-0000-0000F70B0000}"/>
    <cellStyle name="_YC_8(E+Mod)Raw data1_MATERIAL FLOW CHART (BEFORE)1_SQDC Board format (revised)-2013" xfId="3065" xr:uid="{00000000-0005-0000-0000-0000F80B0000}"/>
    <cellStyle name="_YC_8(E+Mod)Raw data1_MATERIAL FLOW CHART (BEFORE)1_Style Changeover Data Information-" xfId="3066" xr:uid="{00000000-0005-0000-0000-0000F90B0000}"/>
    <cellStyle name="_YC_8(E+Mod)Raw data1_MATERIAL FLOW CHART (BEFORE)1_Xl0000034" xfId="3067" xr:uid="{00000000-0005-0000-0000-0000FA0B0000}"/>
    <cellStyle name="_YC_8(E+Mod)Raw data1_MFC BEFORE" xfId="3068" xr:uid="{00000000-0005-0000-0000-0000FB0B0000}"/>
    <cellStyle name="_YC_8(E+Mod)Raw data1_MFC BEFORE_After 5's" xfId="3069" xr:uid="{00000000-0005-0000-0000-0000FC0B0000}"/>
    <cellStyle name="_YC_8(E+Mod)Raw data1_MFC BEFORE_Base Line Data YC-8(C)" xfId="3070" xr:uid="{00000000-0005-0000-0000-0000FD0B0000}"/>
    <cellStyle name="_YC_8(E+Mod)Raw data1_MFC BEFORE_Base line Data-YC-15(G)" xfId="3071" xr:uid="{00000000-0005-0000-0000-0000FE0B0000}"/>
    <cellStyle name="_YC_8(E+Mod)Raw data1_MFC BEFORE_Book1" xfId="3072" xr:uid="{00000000-0005-0000-0000-0000FF0B0000}"/>
    <cellStyle name="_YC_8(E+Mod)Raw data1_MFC BEFORE_Copy of SK Raw data of SKB in Yc-6-(C) 26~31Jan '20131" xfId="3073" xr:uid="{00000000-0005-0000-0000-0000000C0000}"/>
    <cellStyle name="_YC_8(E+Mod)Raw data1_MFC BEFORE_Flow Chart YC-8(C) Before1" xfId="3074" xr:uid="{00000000-0005-0000-0000-0000010C0000}"/>
    <cellStyle name="_YC_8(E+Mod)Raw data1_MFC BEFORE_OCT Graph A1" xfId="3075" xr:uid="{00000000-0005-0000-0000-0000020C0000}"/>
    <cellStyle name="_YC_8(E+Mod)Raw data1_MFC BEFORE_peroto Chart YC-8" xfId="3076" xr:uid="{00000000-0005-0000-0000-0000030C0000}"/>
    <cellStyle name="_YC_8(E+Mod)Raw data1_MFC BEFORE_SK Raw data of SKB in Yc-8-(J) 01~05 Dec'2012" xfId="3077" xr:uid="{00000000-0005-0000-0000-0000040C0000}"/>
    <cellStyle name="_YC_8(E+Mod)Raw data1_MFC BEFORE_SK Raw data of SKB in Yc-8-(J) 01~05 Dec'2012_Base line Data-YC-15(G)" xfId="3078" xr:uid="{00000000-0005-0000-0000-0000050C0000}"/>
    <cellStyle name="_YC_8(E+Mod)Raw data1_MFC BEFORE_SK Raw data of SKB in Yc-8-(J) 01~05 Dec'2012_Book1" xfId="3079" xr:uid="{00000000-0005-0000-0000-0000060C0000}"/>
    <cellStyle name="_YC_8(E+Mod)Raw data1_MFC BEFORE_SK Raw data of SKB in Yc-8-(J) 01~05 Dec'2012_Style Changeover Data Information-" xfId="3080" xr:uid="{00000000-0005-0000-0000-0000070C0000}"/>
    <cellStyle name="_YC_8(E+Mod)Raw data1_MFC BEFORE_SK Raw data of SKB in Yc-8-(J) 01~05 Dec'2012_Style Changeover Data Information-YCL13C" xfId="3081" xr:uid="{00000000-0005-0000-0000-0000080C0000}"/>
    <cellStyle name="_YC_8(E+Mod)Raw data1_MFC BEFORE_SKB RAW DATA" xfId="3082" xr:uid="{00000000-0005-0000-0000-0000090C0000}"/>
    <cellStyle name="_YC_8(E+Mod)Raw data1_MFC BEFORE_SKB YC-8(J)" xfId="3083" xr:uid="{00000000-0005-0000-0000-00000A0C0000}"/>
    <cellStyle name="_YC_8(E+Mod)Raw data1_MFC BEFORE_SKB(Sewing Kaizen - YCL 14 (A)" xfId="3084" xr:uid="{00000000-0005-0000-0000-00000B0C0000}"/>
    <cellStyle name="_YC_8(E+Mod)Raw data1_MFC BEFORE_SQDC Board format (revised)-2013" xfId="3085" xr:uid="{00000000-0005-0000-0000-00000C0C0000}"/>
    <cellStyle name="_YC_8(E+Mod)Raw data1_MFC BEFORE_Style Changeover Data Information-" xfId="3086" xr:uid="{00000000-0005-0000-0000-00000D0C0000}"/>
    <cellStyle name="_YC_8(E+Mod)Raw data1_MFC BEFORE_Xl0000034" xfId="3087" xr:uid="{00000000-0005-0000-0000-00000E0C0000}"/>
    <cellStyle name="_YC_8(E+Mod)Raw data1_PIK Raw Data  from 17~21 Mar,2012" xfId="3088" xr:uid="{00000000-0005-0000-0000-00000F0C0000}"/>
    <cellStyle name="_YC_8(E+Mod)Raw data1_SK Raw data of SKB in Yc-8-I+G2 28Apr~3May'2012" xfId="3089" xr:uid="{00000000-0005-0000-0000-0000100C0000}"/>
    <cellStyle name="_YC_8(E+Mod)Raw data1_Style Change Over YC-8J 11~16 Feb 2012" xfId="3090" xr:uid="{00000000-0005-0000-0000-0000110C0000}"/>
    <cellStyle name="_YC_8(E+Mod)Raw data1_Style Change Over YCL- 8-(E+M) 01~05 Apr, 2012" xfId="3091" xr:uid="{00000000-0005-0000-0000-0000120C0000}"/>
    <cellStyle name="_YC_8(E+Mod)Raw data1_Style Change Over YCL- 8-(E+M) 01~05 Apr, 2012_After 5's" xfId="3092" xr:uid="{00000000-0005-0000-0000-0000130C0000}"/>
    <cellStyle name="_YC_8(E+Mod)Raw data1_Style Change Over YCL- 8-(E+M) 01~05 Apr, 2012_Base Line Data YC-8(C)" xfId="3093" xr:uid="{00000000-0005-0000-0000-0000140C0000}"/>
    <cellStyle name="_YC_8(E+Mod)Raw data1_Style Change Over YCL- 8-(E+M) 01~05 Apr, 2012_Base line Data-YC-15(G)" xfId="3094" xr:uid="{00000000-0005-0000-0000-0000150C0000}"/>
    <cellStyle name="_YC_8(E+Mod)Raw data1_Style Change Over YCL- 8-(E+M) 01~05 Apr, 2012_Book1" xfId="3095" xr:uid="{00000000-0005-0000-0000-0000160C0000}"/>
    <cellStyle name="_YC_8(E+Mod)Raw data1_Style Change Over YCL- 8-(E+M) 01~05 Apr, 2012_Copy of SK Raw data of SKB in Yc-6-(C) 26~31Jan '20131" xfId="3096" xr:uid="{00000000-0005-0000-0000-0000170C0000}"/>
    <cellStyle name="_YC_8(E+Mod)Raw data1_Style Change Over YCL- 8-(E+M) 01~05 Apr, 2012_Flow Chart YC-8(C) Before1" xfId="3097" xr:uid="{00000000-0005-0000-0000-0000180C0000}"/>
    <cellStyle name="_YC_8(E+Mod)Raw data1_Style Change Over YCL- 8-(E+M) 01~05 Apr, 2012_OCT Graph A1" xfId="3098" xr:uid="{00000000-0005-0000-0000-0000190C0000}"/>
    <cellStyle name="_YC_8(E+Mod)Raw data1_Style Change Over YCL- 8-(E+M) 01~05 Apr, 2012_peroto Chart YC-8" xfId="3099" xr:uid="{00000000-0005-0000-0000-00001A0C0000}"/>
    <cellStyle name="_YC_8(E+Mod)Raw data1_Style Change Over YCL- 8-(E+M) 01~05 Apr, 2012_SK Raw data of SKB in Yc-8-(J) 01~05 Dec'2012" xfId="3100" xr:uid="{00000000-0005-0000-0000-00001B0C0000}"/>
    <cellStyle name="_YC_8(E+Mod)Raw data1_Style Change Over YCL- 8-(E+M) 01~05 Apr, 2012_SK Raw data of SKB in Yc-8-(J) 01~05 Dec'2012_Base line Data-YC-15(G)" xfId="3101" xr:uid="{00000000-0005-0000-0000-00001C0C0000}"/>
    <cellStyle name="_YC_8(E+Mod)Raw data1_Style Change Over YCL- 8-(E+M) 01~05 Apr, 2012_SK Raw data of SKB in Yc-8-(J) 01~05 Dec'2012_Book1" xfId="3102" xr:uid="{00000000-0005-0000-0000-00001D0C0000}"/>
    <cellStyle name="_YC_8(E+Mod)Raw data1_Style Change Over YCL- 8-(E+M) 01~05 Apr, 2012_SK Raw data of SKB in Yc-8-(J) 01~05 Dec'2012_Style Changeover Data Information-" xfId="3103" xr:uid="{00000000-0005-0000-0000-00001E0C0000}"/>
    <cellStyle name="_YC_8(E+Mod)Raw data1_Style Change Over YCL- 8-(E+M) 01~05 Apr, 2012_SK Raw data of SKB in Yc-8-(J) 01~05 Dec'2012_Style Changeover Data Information-YCL13C" xfId="3104" xr:uid="{00000000-0005-0000-0000-00001F0C0000}"/>
    <cellStyle name="_YC_8(E+Mod)Raw data1_Style Change Over YCL- 8-(E+M) 01~05 Apr, 2012_SKB RAW DATA" xfId="3105" xr:uid="{00000000-0005-0000-0000-0000200C0000}"/>
    <cellStyle name="_YC_8(E+Mod)Raw data1_Style Change Over YCL- 8-(E+M) 01~05 Apr, 2012_SKB YC-8(J)" xfId="3106" xr:uid="{00000000-0005-0000-0000-0000210C0000}"/>
    <cellStyle name="_YC_8(E+Mod)Raw data1_Style Change Over YCL- 8-(E+M) 01~05 Apr, 2012_SKB(Sewing Kaizen - YCL 14 (A)" xfId="3107" xr:uid="{00000000-0005-0000-0000-0000220C0000}"/>
    <cellStyle name="_YC_8(E+Mod)Raw data1_Style Change Over YCL- 8-(E+M) 01~05 Apr, 2012_SQDC Board format (revised)-2013" xfId="3108" xr:uid="{00000000-0005-0000-0000-0000230C0000}"/>
    <cellStyle name="_YC_8(E+Mod)Raw data1_Style Change Over YCL- 8-(E+M) 01~05 Apr, 2012_Style Changeover Data Information-" xfId="3109" xr:uid="{00000000-0005-0000-0000-0000240C0000}"/>
    <cellStyle name="_YC_8(E+Mod)Raw data1_Style Change Over YCL- 8-(E+M) 01~05 Apr, 2012_Xl0000034" xfId="3110" xr:uid="{00000000-0005-0000-0000-0000250C0000}"/>
    <cellStyle name="_YC_8(E+Mod)Raw data1_Style Change Over YCL- 8-(J) 11-14 February 2012" xfId="3111" xr:uid="{00000000-0005-0000-0000-0000260C0000}"/>
    <cellStyle name="_YC_8(E+Mod)Raw data1_Style Change Over YCL- 8-(J) 11-14 February 2012_After 5's" xfId="3112" xr:uid="{00000000-0005-0000-0000-0000270C0000}"/>
    <cellStyle name="_YC_8(E+Mod)Raw data1_Style Change Over YCL- 8-(J) 11-14 February 2012_Base Line Data YC-8(C)" xfId="3113" xr:uid="{00000000-0005-0000-0000-0000280C0000}"/>
    <cellStyle name="_YC_8(E+Mod)Raw data1_Style Change Over YCL- 8-(J) 11-14 February 2012_Base line Data-YC-15(G)" xfId="3114" xr:uid="{00000000-0005-0000-0000-0000290C0000}"/>
    <cellStyle name="_YC_8(E+Mod)Raw data1_Style Change Over YCL- 8-(J) 11-14 February 2012_Book1" xfId="3115" xr:uid="{00000000-0005-0000-0000-00002A0C0000}"/>
    <cellStyle name="_YC_8(E+Mod)Raw data1_Style Change Over YCL- 8-(J) 11-14 February 2012_Copy of SK Raw data of SKB in Yc-6-(C) 26~31Jan '20131" xfId="3116" xr:uid="{00000000-0005-0000-0000-00002B0C0000}"/>
    <cellStyle name="_YC_8(E+Mod)Raw data1_Style Change Over YCL- 8-(J) 11-14 February 2012_Critical poin" xfId="3117" xr:uid="{00000000-0005-0000-0000-00002C0C0000}"/>
    <cellStyle name="_YC_8(E+Mod)Raw data1_Style Change Over YCL- 8-(J) 11-14 February 2012_Critical poin1" xfId="3118" xr:uid="{00000000-0005-0000-0000-00002D0C0000}"/>
    <cellStyle name="_YC_8(E+Mod)Raw data1_Style Change Over YCL- 8-(J) 11-14 February 2012_Flow Chart YC-8(C) Before1" xfId="3119" xr:uid="{00000000-0005-0000-0000-00002E0C0000}"/>
    <cellStyle name="_YC_8(E+Mod)Raw data1_Style Change Over YCL- 8-(J) 11-14 February 2012_OCT Graph A1" xfId="3120" xr:uid="{00000000-0005-0000-0000-00002F0C0000}"/>
    <cellStyle name="_YC_8(E+Mod)Raw data1_Style Change Over YCL- 8-(J) 11-14 February 2012_peroto Chart YC-8" xfId="3121" xr:uid="{00000000-0005-0000-0000-0000300C0000}"/>
    <cellStyle name="_YC_8(E+Mod)Raw data1_Style Change Over YCL- 8-(J) 11-14 February 2012_SK Raw data of SKB in Yc-8-(J) 01~05 Dec'2012" xfId="3122" xr:uid="{00000000-0005-0000-0000-0000310C0000}"/>
    <cellStyle name="_YC_8(E+Mod)Raw data1_Style Change Over YCL- 8-(J) 11-14 February 2012_SK Raw data of SKB in Yc-8-(J) 01~05 Dec'2012_Base line Data-YC-15(G)" xfId="3123" xr:uid="{00000000-0005-0000-0000-0000320C0000}"/>
    <cellStyle name="_YC_8(E+Mod)Raw data1_Style Change Over YCL- 8-(J) 11-14 February 2012_SK Raw data of SKB in Yc-8-(J) 01~05 Dec'2012_Book1" xfId="3124" xr:uid="{00000000-0005-0000-0000-0000330C0000}"/>
    <cellStyle name="_YC_8(E+Mod)Raw data1_Style Change Over YCL- 8-(J) 11-14 February 2012_SK Raw data of SKB in Yc-8-(J) 01~05 Dec'2012_Style Changeover Data Information-" xfId="3125" xr:uid="{00000000-0005-0000-0000-0000340C0000}"/>
    <cellStyle name="_YC_8(E+Mod)Raw data1_Style Change Over YCL- 8-(J) 11-14 February 2012_SK Raw data of SKB in Yc-8-(J) 01~05 Dec'2012_Style Changeover Data Information-YCL13C" xfId="3126" xr:uid="{00000000-0005-0000-0000-0000350C0000}"/>
    <cellStyle name="_YC_8(E+Mod)Raw data1_Style Change Over YCL- 8-(J) 11-14 February 2012_SKB RAW DATA" xfId="3127" xr:uid="{00000000-0005-0000-0000-0000360C0000}"/>
    <cellStyle name="_YC_8(E+Mod)Raw data1_Style Change Over YCL- 8-(J) 11-14 February 2012_SKB YC-8(J)" xfId="3128" xr:uid="{00000000-0005-0000-0000-0000370C0000}"/>
    <cellStyle name="_YC_8(E+Mod)Raw data1_Style Change Over YCL- 8-(J) 11-14 February 2012_SKB(Sewing Kaizen - YCL 14 (A)" xfId="3129" xr:uid="{00000000-0005-0000-0000-0000380C0000}"/>
    <cellStyle name="_YC_8(E+Mod)Raw data1_Style Change Over YCL- 8-(J) 11-14 February 2012_SQDC Board format (revised)-2013" xfId="3130" xr:uid="{00000000-0005-0000-0000-0000390C0000}"/>
    <cellStyle name="_YC_8(E+Mod)Raw data1_Style Change Over YCL- 8-(J) 11-14 February 2012_Style Change Over YC-7H  16~21 Aprl, 2013" xfId="3131" xr:uid="{00000000-0005-0000-0000-00003A0C0000}"/>
    <cellStyle name="_YC_8(E+Mod)Raw data1_Style Change Over YCL- 8-(J) 11-14 February 2012_Style Change Over YC-7H  16~21 Aprl, 2013_Base line Data-YC-15(G)" xfId="3132" xr:uid="{00000000-0005-0000-0000-00003B0C0000}"/>
    <cellStyle name="_YC_8(E+Mod)Raw data1_Style Change Over YCL- 8-(J) 11-14 February 2012_Style Change Over YC-7H  16~21 Aprl, 2013_Book1" xfId="3133" xr:uid="{00000000-0005-0000-0000-00003C0C0000}"/>
    <cellStyle name="_YC_8(E+Mod)Raw data1_Style Change Over YCL- 8-(J) 11-14 February 2012_Style Change Over YC-7H  16~21 Aprl, 2013_Style Changeover Data Information-" xfId="3134" xr:uid="{00000000-0005-0000-0000-00003D0C0000}"/>
    <cellStyle name="_YC_8(E+Mod)Raw data1_Style Change Over YCL- 8-(J) 11-14 February 2012_Style Change Over YC-7H  16~21 Aprl, 2013_Style Changeover Data Information-YCL13C" xfId="3135" xr:uid="{00000000-0005-0000-0000-00003E0C0000}"/>
    <cellStyle name="_YC_8(E+Mod)Raw data1_Style Change Over YCL- 8-(J) 11-14 February 2012_Style Change Over YC-9 (I)  28~02 May, 2013" xfId="3136" xr:uid="{00000000-0005-0000-0000-00003F0C0000}"/>
    <cellStyle name="_YC_8(E+Mod)Raw data1_Style Change Over YCL- 8-(J) 11-14 February 2012_Style Change Over YC-9 (I)  28~02 May, 2013_Base line Data-YC-15(G)" xfId="3137" xr:uid="{00000000-0005-0000-0000-0000400C0000}"/>
    <cellStyle name="_YC_8(E+Mod)Raw data1_Style Change Over YCL- 8-(J) 11-14 February 2012_Style Change Over YC-9 (I)  28~02 May, 2013_Book1" xfId="3138" xr:uid="{00000000-0005-0000-0000-0000410C0000}"/>
    <cellStyle name="_YC_8(E+Mod)Raw data1_Style Change Over YCL- 8-(J) 11-14 February 2012_Style Change Over YC-9 (I)  28~02 May, 2013_Style Changeover Data Information-" xfId="3139" xr:uid="{00000000-0005-0000-0000-0000420C0000}"/>
    <cellStyle name="_YC_8(E+Mod)Raw data1_Style Change Over YCL- 8-(J) 11-14 February 2012_Style Change Over YC-9 (I)  28~02 May, 2013_Style Changeover Data Information-YCL13C" xfId="3140" xr:uid="{00000000-0005-0000-0000-0000430C0000}"/>
    <cellStyle name="_YC_8(E+Mod)Raw data1_Style Change Over YCL- 8-(J) 11-14 February 2012_Style Changeover Data Information-" xfId="3141" xr:uid="{00000000-0005-0000-0000-0000440C0000}"/>
    <cellStyle name="_YC_8(E+Mod)Raw data1_Style Change Over YCL- 8-(J) 11-14 February 2012_Xl0000034" xfId="3142" xr:uid="{00000000-0005-0000-0000-0000450C0000}"/>
    <cellStyle name="_YC_8(E+Mod)Raw data1_YCL2012-010I-SKB Presentation_YCL 8(H+G1_Changeover_12~18 April, 2012" xfId="3143" xr:uid="{00000000-0005-0000-0000-0000460C0000}"/>
    <cellStyle name="_YC_8(E+Mod)Raw data1_YCL2012-010I-SKB Presentation_YCL 8(H+G1_Changeover_12~18 April, 2012_Base Line Data YC-8(C)" xfId="3144" xr:uid="{00000000-0005-0000-0000-0000470C0000}"/>
    <cellStyle name="_YC_8(E+Mod)Raw data1_YCL2012-010I-SKB Presentation_YCL 8(H+G1_Changeover_12~18 April, 2012_Base line Data-YC-15(G)" xfId="3145" xr:uid="{00000000-0005-0000-0000-0000480C0000}"/>
    <cellStyle name="_YC_8(E+Mod)Raw data1_YCL2012-010I-SKB Presentation_YCL 8(H+G1_Changeover_12~18 April, 2012_Book1" xfId="3146" xr:uid="{00000000-0005-0000-0000-0000490C0000}"/>
    <cellStyle name="_YC_8(E+Mod)Raw data1_YCL2012-010I-SKB Presentation_YCL 8(H+G1_Changeover_12~18 April, 2012_Copy of SK Raw data of SKB in Yc-6-(C) 26~31Jan '20131" xfId="3147" xr:uid="{00000000-0005-0000-0000-00004A0C0000}"/>
    <cellStyle name="_YC_8(E+Mod)Raw data1_YCL2012-010I-SKB Presentation_YCL 8(H+G1_Changeover_12~18 April, 2012_Flow Chart YC-8(C) Before1" xfId="3148" xr:uid="{00000000-0005-0000-0000-00004B0C0000}"/>
    <cellStyle name="_YC_8(E+Mod)Raw data1_YCL2012-010I-SKB Presentation_YCL 8(H+G1_Changeover_12~18 April, 2012_OCT Graph A1" xfId="3149" xr:uid="{00000000-0005-0000-0000-00004C0C0000}"/>
    <cellStyle name="_YC_8(E+Mod)Raw data1_YCL2012-010I-SKB Presentation_YCL 8(H+G1_Changeover_12~18 April, 2012_SK Raw data of SKB in Yc-8-(J) 01~05 Dec'2012" xfId="3150" xr:uid="{00000000-0005-0000-0000-00004D0C0000}"/>
    <cellStyle name="_YC_8(E+Mod)Raw data1_YCL2012-010I-SKB Presentation_YCL 8(H+G1_Changeover_12~18 April, 2012_SK Raw data of SKB in Yc-8-(J) 01~05 Dec'2012_Base line Data-YC-15(G)" xfId="3151" xr:uid="{00000000-0005-0000-0000-00004E0C0000}"/>
    <cellStyle name="_YC_8(E+Mod)Raw data1_YCL2012-010I-SKB Presentation_YCL 8(H+G1_Changeover_12~18 April, 2012_SK Raw data of SKB in Yc-8-(J) 01~05 Dec'2012_Book1" xfId="3152" xr:uid="{00000000-0005-0000-0000-00004F0C0000}"/>
    <cellStyle name="_YC_8(E+Mod)Raw data1_YCL2012-010I-SKB Presentation_YCL 8(H+G1_Changeover_12~18 April, 2012_SK Raw data of SKB in Yc-8-(J) 01~05 Dec'2012_Style Changeover Data Information-" xfId="3153" xr:uid="{00000000-0005-0000-0000-0000500C0000}"/>
    <cellStyle name="_YC_8(E+Mod)Raw data1_YCL2012-010I-SKB Presentation_YCL 8(H+G1_Changeover_12~18 April, 2012_SK Raw data of SKB in Yc-8-(J) 01~05 Dec'2012_Style Changeover Data Information-YCL13C" xfId="3154" xr:uid="{00000000-0005-0000-0000-0000510C0000}"/>
    <cellStyle name="_YC_8(E+Mod)Raw data1_YCL2012-010I-SKB Presentation_YCL 8(H+G1_Changeover_12~18 April, 2012_SKB RAW DATA" xfId="3155" xr:uid="{00000000-0005-0000-0000-0000520C0000}"/>
    <cellStyle name="_YC_8(E+Mod)Raw data1_YCL2012-010I-SKB Presentation_YCL 8(H+G1_Changeover_12~18 April, 2012_SKB YC-8(J)" xfId="3156" xr:uid="{00000000-0005-0000-0000-0000530C0000}"/>
    <cellStyle name="_YC_8(E+Mod)Raw data1_YCL2012-010I-SKB Presentation_YCL 8(H+G1_Changeover_12~18 April, 2012_SKB(Sewing Kaizen - YCL 14 (A)" xfId="3157" xr:uid="{00000000-0005-0000-0000-0000540C0000}"/>
    <cellStyle name="_YC_8(E+Mod)Raw data1_YCL2012-010I-SKB Presentation_YCL 8(H+G1_Changeover_12~18 April, 2012_SQDC Board format (revised)-2013" xfId="3158" xr:uid="{00000000-0005-0000-0000-0000550C0000}"/>
    <cellStyle name="_YC_8(E+Mod)Raw data1_YCL2012-010I-SKB Presentation_YCL 8(H+G1_Changeover_12~18 April, 2012_Style Changeover Data Information-" xfId="3159" xr:uid="{00000000-0005-0000-0000-0000560C0000}"/>
    <cellStyle name="_YC_8(E+Mod)Raw data1_YCL2012-010I-SKB Presentation_YCL 8(H+G1_Changeover_12~18 April, 2012_Xl0000034" xfId="3160" xr:uid="{00000000-0005-0000-0000-0000570C0000}"/>
    <cellStyle name="_YC_8(E+Mod)Raw data1_Ycl-8-H+G2 Flow chart3" xfId="3161" xr:uid="{00000000-0005-0000-0000-0000580C0000}"/>
    <cellStyle name="_YC_8(I)Raw data(Nov,'12)2" xfId="3162" xr:uid="{00000000-0005-0000-0000-0000590C0000}"/>
    <cellStyle name="_YC_8(I)Raw data(Nov,'12)2_SKB RAW DATA" xfId="3163" xr:uid="{00000000-0005-0000-0000-00005A0C0000}"/>
    <cellStyle name="_YC~8-(F+M)Raw data1" xfId="3164" xr:uid="{00000000-0005-0000-0000-00005B0C0000}"/>
    <cellStyle name="_YC~8-(F+M)Raw data1_Graph-Ycl-8-H+G1" xfId="3165" xr:uid="{00000000-0005-0000-0000-00005C0C0000}"/>
    <cellStyle name="_YC~8-(F+M)Raw data1_MATERIAL FLOW CHART (BEFORE)1" xfId="3166" xr:uid="{00000000-0005-0000-0000-00005D0C0000}"/>
    <cellStyle name="_YC~8-(F+M)Raw data1_MATERIAL FLOW CHART (BEFORE)1_After 5's" xfId="3167" xr:uid="{00000000-0005-0000-0000-00005E0C0000}"/>
    <cellStyle name="_YC~8-(F+M)Raw data1_MATERIAL FLOW CHART (BEFORE)1_Base Line Data YC-8(C)" xfId="3168" xr:uid="{00000000-0005-0000-0000-00005F0C0000}"/>
    <cellStyle name="_YC~8-(F+M)Raw data1_MATERIAL FLOW CHART (BEFORE)1_Base line Data-YC-15(G)" xfId="3169" xr:uid="{00000000-0005-0000-0000-0000600C0000}"/>
    <cellStyle name="_YC~8-(F+M)Raw data1_MATERIAL FLOW CHART (BEFORE)1_Book1" xfId="3170" xr:uid="{00000000-0005-0000-0000-0000610C0000}"/>
    <cellStyle name="_YC~8-(F+M)Raw data1_MATERIAL FLOW CHART (BEFORE)1_Copy of SK Raw data of SKB in Yc-6-(C) 26~31Jan '20131" xfId="3171" xr:uid="{00000000-0005-0000-0000-0000620C0000}"/>
    <cellStyle name="_YC~8-(F+M)Raw data1_MATERIAL FLOW CHART (BEFORE)1_Flow Chart YC-8(C) Before1" xfId="3172" xr:uid="{00000000-0005-0000-0000-0000630C0000}"/>
    <cellStyle name="_YC~8-(F+M)Raw data1_MATERIAL FLOW CHART (BEFORE)1_OCT Graph A1" xfId="3173" xr:uid="{00000000-0005-0000-0000-0000640C0000}"/>
    <cellStyle name="_YC~8-(F+M)Raw data1_MATERIAL FLOW CHART (BEFORE)1_SK Raw data of SKB in Yc-8-(J) 01~05 Dec'2012" xfId="3174" xr:uid="{00000000-0005-0000-0000-0000650C0000}"/>
    <cellStyle name="_YC~8-(F+M)Raw data1_MATERIAL FLOW CHART (BEFORE)1_SK Raw data of SKB in Yc-8-(J) 01~05 Dec'2012_Base line Data-YC-15(G)" xfId="3175" xr:uid="{00000000-0005-0000-0000-0000660C0000}"/>
    <cellStyle name="_YC~8-(F+M)Raw data1_MATERIAL FLOW CHART (BEFORE)1_SK Raw data of SKB in Yc-8-(J) 01~05 Dec'2012_Book1" xfId="3176" xr:uid="{00000000-0005-0000-0000-0000670C0000}"/>
    <cellStyle name="_YC~8-(F+M)Raw data1_MATERIAL FLOW CHART (BEFORE)1_SK Raw data of SKB in Yc-8-(J) 01~05 Dec'2012_Style Changeover Data Information-" xfId="3177" xr:uid="{00000000-0005-0000-0000-0000680C0000}"/>
    <cellStyle name="_YC~8-(F+M)Raw data1_MATERIAL FLOW CHART (BEFORE)1_SK Raw data of SKB in Yc-8-(J) 01~05 Dec'2012_Style Changeover Data Information-YCL13C" xfId="3178" xr:uid="{00000000-0005-0000-0000-0000690C0000}"/>
    <cellStyle name="_YC~8-(F+M)Raw data1_MATERIAL FLOW CHART (BEFORE)1_SKB RAW DATA" xfId="3179" xr:uid="{00000000-0005-0000-0000-00006A0C0000}"/>
    <cellStyle name="_YC~8-(F+M)Raw data1_MATERIAL FLOW CHART (BEFORE)1_SKB YC-8(J)" xfId="3180" xr:uid="{00000000-0005-0000-0000-00006B0C0000}"/>
    <cellStyle name="_YC~8-(F+M)Raw data1_MATERIAL FLOW CHART (BEFORE)1_SKB(Sewing Kaizen - YCL 14 (A)" xfId="3181" xr:uid="{00000000-0005-0000-0000-00006C0C0000}"/>
    <cellStyle name="_YC~8-(F+M)Raw data1_MATERIAL FLOW CHART (BEFORE)1_SQDC Board format (revised)-2013" xfId="3182" xr:uid="{00000000-0005-0000-0000-00006D0C0000}"/>
    <cellStyle name="_YC~8-(F+M)Raw data1_MATERIAL FLOW CHART (BEFORE)1_Style Changeover Data Information-" xfId="3183" xr:uid="{00000000-0005-0000-0000-00006E0C0000}"/>
    <cellStyle name="_YC~8-(F+M)Raw data1_MATERIAL FLOW CHART (BEFORE)1_Xl0000034" xfId="3184" xr:uid="{00000000-0005-0000-0000-00006F0C0000}"/>
    <cellStyle name="_YC~8-(F+M)Raw data1_MFC BEFORE" xfId="3185" xr:uid="{00000000-0005-0000-0000-0000700C0000}"/>
    <cellStyle name="_YC~8-(F+M)Raw data1_MFC BEFORE_After 5's" xfId="3186" xr:uid="{00000000-0005-0000-0000-0000710C0000}"/>
    <cellStyle name="_YC~8-(F+M)Raw data1_MFC BEFORE_Base Line Data YC-8(C)" xfId="3187" xr:uid="{00000000-0005-0000-0000-0000720C0000}"/>
    <cellStyle name="_YC~8-(F+M)Raw data1_MFC BEFORE_Base line Data-YC-15(G)" xfId="3188" xr:uid="{00000000-0005-0000-0000-0000730C0000}"/>
    <cellStyle name="_YC~8-(F+M)Raw data1_MFC BEFORE_Book1" xfId="3189" xr:uid="{00000000-0005-0000-0000-0000740C0000}"/>
    <cellStyle name="_YC~8-(F+M)Raw data1_MFC BEFORE_Copy of SK Raw data of SKB in Yc-6-(C) 26~31Jan '20131" xfId="3190" xr:uid="{00000000-0005-0000-0000-0000750C0000}"/>
    <cellStyle name="_YC~8-(F+M)Raw data1_MFC BEFORE_Flow Chart YC-8(C) Before1" xfId="3191" xr:uid="{00000000-0005-0000-0000-0000760C0000}"/>
    <cellStyle name="_YC~8-(F+M)Raw data1_MFC BEFORE_OCT Graph A1" xfId="3192" xr:uid="{00000000-0005-0000-0000-0000770C0000}"/>
    <cellStyle name="_YC~8-(F+M)Raw data1_MFC BEFORE_peroto Chart YC-8" xfId="3193" xr:uid="{00000000-0005-0000-0000-0000780C0000}"/>
    <cellStyle name="_YC~8-(F+M)Raw data1_MFC BEFORE_SK Raw data of SKB in Yc-8-(J) 01~05 Dec'2012" xfId="3194" xr:uid="{00000000-0005-0000-0000-0000790C0000}"/>
    <cellStyle name="_YC~8-(F+M)Raw data1_MFC BEFORE_SK Raw data of SKB in Yc-8-(J) 01~05 Dec'2012_Base line Data-YC-15(G)" xfId="3195" xr:uid="{00000000-0005-0000-0000-00007A0C0000}"/>
    <cellStyle name="_YC~8-(F+M)Raw data1_MFC BEFORE_SK Raw data of SKB in Yc-8-(J) 01~05 Dec'2012_Book1" xfId="3196" xr:uid="{00000000-0005-0000-0000-00007B0C0000}"/>
    <cellStyle name="_YC~8-(F+M)Raw data1_MFC BEFORE_SK Raw data of SKB in Yc-8-(J) 01~05 Dec'2012_Style Changeover Data Information-" xfId="3197" xr:uid="{00000000-0005-0000-0000-00007C0C0000}"/>
    <cellStyle name="_YC~8-(F+M)Raw data1_MFC BEFORE_SK Raw data of SKB in Yc-8-(J) 01~05 Dec'2012_Style Changeover Data Information-YCL13C" xfId="3198" xr:uid="{00000000-0005-0000-0000-00007D0C0000}"/>
    <cellStyle name="_YC~8-(F+M)Raw data1_MFC BEFORE_SKB RAW DATA" xfId="3199" xr:uid="{00000000-0005-0000-0000-00007E0C0000}"/>
    <cellStyle name="_YC~8-(F+M)Raw data1_MFC BEFORE_SKB YC-8(J)" xfId="3200" xr:uid="{00000000-0005-0000-0000-00007F0C0000}"/>
    <cellStyle name="_YC~8-(F+M)Raw data1_MFC BEFORE_SKB(Sewing Kaizen - YCL 14 (A)" xfId="3201" xr:uid="{00000000-0005-0000-0000-0000800C0000}"/>
    <cellStyle name="_YC~8-(F+M)Raw data1_MFC BEFORE_SQDC Board format (revised)-2013" xfId="3202" xr:uid="{00000000-0005-0000-0000-0000810C0000}"/>
    <cellStyle name="_YC~8-(F+M)Raw data1_MFC BEFORE_Style Changeover Data Information-" xfId="3203" xr:uid="{00000000-0005-0000-0000-0000820C0000}"/>
    <cellStyle name="_YC~8-(F+M)Raw data1_MFC BEFORE_Xl0000034" xfId="3204" xr:uid="{00000000-0005-0000-0000-0000830C0000}"/>
    <cellStyle name="_YC~8-(F+M)Raw data1_PIK Raw Data  from 17~21 Mar,2012" xfId="3205" xr:uid="{00000000-0005-0000-0000-0000840C0000}"/>
    <cellStyle name="_YC~8-(F+M)Raw data1_SK Raw data of SKB in Yc-8-I+G2 28Apr~3May'2012" xfId="3206" xr:uid="{00000000-0005-0000-0000-0000850C0000}"/>
    <cellStyle name="_YC~8-(F+M)Raw data1_Style Change Over YC-8J 11~16 Feb 2012" xfId="3207" xr:uid="{00000000-0005-0000-0000-0000860C0000}"/>
    <cellStyle name="_YC~8-(F+M)Raw data1_Style Change Over YCL- 8-(E+M) 01~05 Apr, 2012" xfId="3208" xr:uid="{00000000-0005-0000-0000-0000870C0000}"/>
    <cellStyle name="_YC~8-(F+M)Raw data1_Style Change Over YCL- 8-(E+M) 01~05 Apr, 2012_After 5's" xfId="3209" xr:uid="{00000000-0005-0000-0000-0000880C0000}"/>
    <cellStyle name="_YC~8-(F+M)Raw data1_Style Change Over YCL- 8-(E+M) 01~05 Apr, 2012_Base Line Data YC-8(C)" xfId="3210" xr:uid="{00000000-0005-0000-0000-0000890C0000}"/>
    <cellStyle name="_YC~8-(F+M)Raw data1_Style Change Over YCL- 8-(E+M) 01~05 Apr, 2012_Base line Data-YC-15(G)" xfId="3211" xr:uid="{00000000-0005-0000-0000-00008A0C0000}"/>
    <cellStyle name="_YC~8-(F+M)Raw data1_Style Change Over YCL- 8-(E+M) 01~05 Apr, 2012_Book1" xfId="3212" xr:uid="{00000000-0005-0000-0000-00008B0C0000}"/>
    <cellStyle name="_YC~8-(F+M)Raw data1_Style Change Over YCL- 8-(E+M) 01~05 Apr, 2012_Copy of SK Raw data of SKB in Yc-6-(C) 26~31Jan '20131" xfId="3213" xr:uid="{00000000-0005-0000-0000-00008C0C0000}"/>
    <cellStyle name="_YC~8-(F+M)Raw data1_Style Change Over YCL- 8-(E+M) 01~05 Apr, 2012_Flow Chart YC-8(C) Before1" xfId="3214" xr:uid="{00000000-0005-0000-0000-00008D0C0000}"/>
    <cellStyle name="_YC~8-(F+M)Raw data1_Style Change Over YCL- 8-(E+M) 01~05 Apr, 2012_OCT Graph A1" xfId="3215" xr:uid="{00000000-0005-0000-0000-00008E0C0000}"/>
    <cellStyle name="_YC~8-(F+M)Raw data1_Style Change Over YCL- 8-(E+M) 01~05 Apr, 2012_peroto Chart YC-8" xfId="3216" xr:uid="{00000000-0005-0000-0000-00008F0C0000}"/>
    <cellStyle name="_YC~8-(F+M)Raw data1_Style Change Over YCL- 8-(E+M) 01~05 Apr, 2012_SK Raw data of SKB in Yc-8-(J) 01~05 Dec'2012" xfId="3217" xr:uid="{00000000-0005-0000-0000-0000900C0000}"/>
    <cellStyle name="_YC~8-(F+M)Raw data1_Style Change Over YCL- 8-(E+M) 01~05 Apr, 2012_SK Raw data of SKB in Yc-8-(J) 01~05 Dec'2012_Base line Data-YC-15(G)" xfId="3218" xr:uid="{00000000-0005-0000-0000-0000910C0000}"/>
    <cellStyle name="_YC~8-(F+M)Raw data1_Style Change Over YCL- 8-(E+M) 01~05 Apr, 2012_SK Raw data of SKB in Yc-8-(J) 01~05 Dec'2012_Book1" xfId="3219" xr:uid="{00000000-0005-0000-0000-0000920C0000}"/>
    <cellStyle name="_YC~8-(F+M)Raw data1_Style Change Over YCL- 8-(E+M) 01~05 Apr, 2012_SK Raw data of SKB in Yc-8-(J) 01~05 Dec'2012_Style Changeover Data Information-" xfId="3220" xr:uid="{00000000-0005-0000-0000-0000930C0000}"/>
    <cellStyle name="_YC~8-(F+M)Raw data1_Style Change Over YCL- 8-(E+M) 01~05 Apr, 2012_SK Raw data of SKB in Yc-8-(J) 01~05 Dec'2012_Style Changeover Data Information-YCL13C" xfId="3221" xr:uid="{00000000-0005-0000-0000-0000940C0000}"/>
    <cellStyle name="_YC~8-(F+M)Raw data1_Style Change Over YCL- 8-(E+M) 01~05 Apr, 2012_SKB RAW DATA" xfId="3222" xr:uid="{00000000-0005-0000-0000-0000950C0000}"/>
    <cellStyle name="_YC~8-(F+M)Raw data1_Style Change Over YCL- 8-(E+M) 01~05 Apr, 2012_SKB YC-8(J)" xfId="3223" xr:uid="{00000000-0005-0000-0000-0000960C0000}"/>
    <cellStyle name="_YC~8-(F+M)Raw data1_Style Change Over YCL- 8-(E+M) 01~05 Apr, 2012_SKB(Sewing Kaizen - YCL 14 (A)" xfId="3224" xr:uid="{00000000-0005-0000-0000-0000970C0000}"/>
    <cellStyle name="_YC~8-(F+M)Raw data1_Style Change Over YCL- 8-(E+M) 01~05 Apr, 2012_SQDC Board format (revised)-2013" xfId="3225" xr:uid="{00000000-0005-0000-0000-0000980C0000}"/>
    <cellStyle name="_YC~8-(F+M)Raw data1_Style Change Over YCL- 8-(E+M) 01~05 Apr, 2012_Style Changeover Data Information-" xfId="3226" xr:uid="{00000000-0005-0000-0000-0000990C0000}"/>
    <cellStyle name="_YC~8-(F+M)Raw data1_Style Change Over YCL- 8-(E+M) 01~05 Apr, 2012_Xl0000034" xfId="3227" xr:uid="{00000000-0005-0000-0000-00009A0C0000}"/>
    <cellStyle name="_YC~8-(F+M)Raw data1_Style Change Over YCL- 8-(J) 11-14 February 2012" xfId="3228" xr:uid="{00000000-0005-0000-0000-00009B0C0000}"/>
    <cellStyle name="_YC~8-(F+M)Raw data1_Style Change Over YCL- 8-(J) 11-14 February 2012_After 5's" xfId="3229" xr:uid="{00000000-0005-0000-0000-00009C0C0000}"/>
    <cellStyle name="_YC~8-(F+M)Raw data1_Style Change Over YCL- 8-(J) 11-14 February 2012_Base Line Data YC-8(C)" xfId="3230" xr:uid="{00000000-0005-0000-0000-00009D0C0000}"/>
    <cellStyle name="_YC~8-(F+M)Raw data1_Style Change Over YCL- 8-(J) 11-14 February 2012_Base line Data-YC-15(G)" xfId="3231" xr:uid="{00000000-0005-0000-0000-00009E0C0000}"/>
    <cellStyle name="_YC~8-(F+M)Raw data1_Style Change Over YCL- 8-(J) 11-14 February 2012_Book1" xfId="3232" xr:uid="{00000000-0005-0000-0000-00009F0C0000}"/>
    <cellStyle name="_YC~8-(F+M)Raw data1_Style Change Over YCL- 8-(J) 11-14 February 2012_Copy of SK Raw data of SKB in Yc-6-(C) 26~31Jan '20131" xfId="3233" xr:uid="{00000000-0005-0000-0000-0000A00C0000}"/>
    <cellStyle name="_YC~8-(F+M)Raw data1_Style Change Over YCL- 8-(J) 11-14 February 2012_Critical poin" xfId="3234" xr:uid="{00000000-0005-0000-0000-0000A10C0000}"/>
    <cellStyle name="_YC~8-(F+M)Raw data1_Style Change Over YCL- 8-(J) 11-14 February 2012_Critical poin1" xfId="3235" xr:uid="{00000000-0005-0000-0000-0000A20C0000}"/>
    <cellStyle name="_YC~8-(F+M)Raw data1_Style Change Over YCL- 8-(J) 11-14 February 2012_Flow Chart YC-8(C) Before1" xfId="3236" xr:uid="{00000000-0005-0000-0000-0000A30C0000}"/>
    <cellStyle name="_YC~8-(F+M)Raw data1_Style Change Over YCL- 8-(J) 11-14 February 2012_OCT Graph A1" xfId="3237" xr:uid="{00000000-0005-0000-0000-0000A40C0000}"/>
    <cellStyle name="_YC~8-(F+M)Raw data1_Style Change Over YCL- 8-(J) 11-14 February 2012_peroto Chart YC-8" xfId="3238" xr:uid="{00000000-0005-0000-0000-0000A50C0000}"/>
    <cellStyle name="_YC~8-(F+M)Raw data1_Style Change Over YCL- 8-(J) 11-14 February 2012_SK Raw data of SKB in Yc-8-(J) 01~05 Dec'2012" xfId="3239" xr:uid="{00000000-0005-0000-0000-0000A60C0000}"/>
    <cellStyle name="_YC~8-(F+M)Raw data1_Style Change Over YCL- 8-(J) 11-14 February 2012_SK Raw data of SKB in Yc-8-(J) 01~05 Dec'2012_Base line Data-YC-15(G)" xfId="3240" xr:uid="{00000000-0005-0000-0000-0000A70C0000}"/>
    <cellStyle name="_YC~8-(F+M)Raw data1_Style Change Over YCL- 8-(J) 11-14 February 2012_SK Raw data of SKB in Yc-8-(J) 01~05 Dec'2012_Book1" xfId="3241" xr:uid="{00000000-0005-0000-0000-0000A80C0000}"/>
    <cellStyle name="_YC~8-(F+M)Raw data1_Style Change Over YCL- 8-(J) 11-14 February 2012_SK Raw data of SKB in Yc-8-(J) 01~05 Dec'2012_Style Changeover Data Information-" xfId="3242" xr:uid="{00000000-0005-0000-0000-0000A90C0000}"/>
    <cellStyle name="_YC~8-(F+M)Raw data1_Style Change Over YCL- 8-(J) 11-14 February 2012_SK Raw data of SKB in Yc-8-(J) 01~05 Dec'2012_Style Changeover Data Information-YCL13C" xfId="3243" xr:uid="{00000000-0005-0000-0000-0000AA0C0000}"/>
    <cellStyle name="_YC~8-(F+M)Raw data1_Style Change Over YCL- 8-(J) 11-14 February 2012_SKB RAW DATA" xfId="3244" xr:uid="{00000000-0005-0000-0000-0000AB0C0000}"/>
    <cellStyle name="_YC~8-(F+M)Raw data1_Style Change Over YCL- 8-(J) 11-14 February 2012_SKB YC-8(J)" xfId="3245" xr:uid="{00000000-0005-0000-0000-0000AC0C0000}"/>
    <cellStyle name="_YC~8-(F+M)Raw data1_Style Change Over YCL- 8-(J) 11-14 February 2012_SKB(Sewing Kaizen - YCL 14 (A)" xfId="3246" xr:uid="{00000000-0005-0000-0000-0000AD0C0000}"/>
    <cellStyle name="_YC~8-(F+M)Raw data1_Style Change Over YCL- 8-(J) 11-14 February 2012_SQDC Board format (revised)-2013" xfId="3247" xr:uid="{00000000-0005-0000-0000-0000AE0C0000}"/>
    <cellStyle name="_YC~8-(F+M)Raw data1_Style Change Over YCL- 8-(J) 11-14 February 2012_Style Change Over YC-7H  16~21 Aprl, 2013" xfId="3248" xr:uid="{00000000-0005-0000-0000-0000AF0C0000}"/>
    <cellStyle name="_YC~8-(F+M)Raw data1_Style Change Over YCL- 8-(J) 11-14 February 2012_Style Change Over YC-7H  16~21 Aprl, 2013_Base line Data-YC-15(G)" xfId="3249" xr:uid="{00000000-0005-0000-0000-0000B00C0000}"/>
    <cellStyle name="_YC~8-(F+M)Raw data1_Style Change Over YCL- 8-(J) 11-14 February 2012_Style Change Over YC-7H  16~21 Aprl, 2013_Book1" xfId="3250" xr:uid="{00000000-0005-0000-0000-0000B10C0000}"/>
    <cellStyle name="_YC~8-(F+M)Raw data1_Style Change Over YCL- 8-(J) 11-14 February 2012_Style Change Over YC-7H  16~21 Aprl, 2013_Style Changeover Data Information-" xfId="3251" xr:uid="{00000000-0005-0000-0000-0000B20C0000}"/>
    <cellStyle name="_YC~8-(F+M)Raw data1_Style Change Over YCL- 8-(J) 11-14 February 2012_Style Change Over YC-7H  16~21 Aprl, 2013_Style Changeover Data Information-YCL13C" xfId="3252" xr:uid="{00000000-0005-0000-0000-0000B30C0000}"/>
    <cellStyle name="_YC~8-(F+M)Raw data1_Style Change Over YCL- 8-(J) 11-14 February 2012_Style Change Over YC-9 (I)  28~02 May, 2013" xfId="3253" xr:uid="{00000000-0005-0000-0000-0000B40C0000}"/>
    <cellStyle name="_YC~8-(F+M)Raw data1_Style Change Over YCL- 8-(J) 11-14 February 2012_Style Change Over YC-9 (I)  28~02 May, 2013_Base line Data-YC-15(G)" xfId="3254" xr:uid="{00000000-0005-0000-0000-0000B50C0000}"/>
    <cellStyle name="_YC~8-(F+M)Raw data1_Style Change Over YCL- 8-(J) 11-14 February 2012_Style Change Over YC-9 (I)  28~02 May, 2013_Book1" xfId="3255" xr:uid="{00000000-0005-0000-0000-0000B60C0000}"/>
    <cellStyle name="_YC~8-(F+M)Raw data1_Style Change Over YCL- 8-(J) 11-14 February 2012_Style Change Over YC-9 (I)  28~02 May, 2013_Style Changeover Data Information-" xfId="3256" xr:uid="{00000000-0005-0000-0000-0000B70C0000}"/>
    <cellStyle name="_YC~8-(F+M)Raw data1_Style Change Over YCL- 8-(J) 11-14 February 2012_Style Change Over YC-9 (I)  28~02 May, 2013_Style Changeover Data Information-YCL13C" xfId="3257" xr:uid="{00000000-0005-0000-0000-0000B80C0000}"/>
    <cellStyle name="_YC~8-(F+M)Raw data1_Style Change Over YCL- 8-(J) 11-14 February 2012_Style Changeover Data Information-" xfId="3258" xr:uid="{00000000-0005-0000-0000-0000B90C0000}"/>
    <cellStyle name="_YC~8-(F+M)Raw data1_Style Change Over YCL- 8-(J) 11-14 February 2012_Xl0000034" xfId="3259" xr:uid="{00000000-0005-0000-0000-0000BA0C0000}"/>
    <cellStyle name="_YC~8-(F+M)Raw data1_YCL2012-010I-SKB Presentation_YCL 8(H+G1_Changeover_12~18 April, 2012" xfId="3260" xr:uid="{00000000-0005-0000-0000-0000BB0C0000}"/>
    <cellStyle name="_YC~8-(F+M)Raw data1_YCL2012-010I-SKB Presentation_YCL 8(H+G1_Changeover_12~18 April, 2012_Base Line Data YC-8(C)" xfId="3261" xr:uid="{00000000-0005-0000-0000-0000BC0C0000}"/>
    <cellStyle name="_YC~8-(F+M)Raw data1_YCL2012-010I-SKB Presentation_YCL 8(H+G1_Changeover_12~18 April, 2012_Base line Data-YC-15(G)" xfId="3262" xr:uid="{00000000-0005-0000-0000-0000BD0C0000}"/>
    <cellStyle name="_YC~8-(F+M)Raw data1_YCL2012-010I-SKB Presentation_YCL 8(H+G1_Changeover_12~18 April, 2012_Book1" xfId="3263" xr:uid="{00000000-0005-0000-0000-0000BE0C0000}"/>
    <cellStyle name="_YC~8-(F+M)Raw data1_YCL2012-010I-SKB Presentation_YCL 8(H+G1_Changeover_12~18 April, 2012_Copy of SK Raw data of SKB in Yc-6-(C) 26~31Jan '20131" xfId="3264" xr:uid="{00000000-0005-0000-0000-0000BF0C0000}"/>
    <cellStyle name="_YC~8-(F+M)Raw data1_YCL2012-010I-SKB Presentation_YCL 8(H+G1_Changeover_12~18 April, 2012_Flow Chart YC-8(C) Before1" xfId="3265" xr:uid="{00000000-0005-0000-0000-0000C00C0000}"/>
    <cellStyle name="_YC~8-(F+M)Raw data1_YCL2012-010I-SKB Presentation_YCL 8(H+G1_Changeover_12~18 April, 2012_OCT Graph A1" xfId="3266" xr:uid="{00000000-0005-0000-0000-0000C10C0000}"/>
    <cellStyle name="_YC~8-(F+M)Raw data1_YCL2012-010I-SKB Presentation_YCL 8(H+G1_Changeover_12~18 April, 2012_SK Raw data of SKB in Yc-8-(J) 01~05 Dec'2012" xfId="3267" xr:uid="{00000000-0005-0000-0000-0000C20C0000}"/>
    <cellStyle name="_YC~8-(F+M)Raw data1_YCL2012-010I-SKB Presentation_YCL 8(H+G1_Changeover_12~18 April, 2012_SK Raw data of SKB in Yc-8-(J) 01~05 Dec'2012_Base line Data-YC-15(G)" xfId="3268" xr:uid="{00000000-0005-0000-0000-0000C30C0000}"/>
    <cellStyle name="_YC~8-(F+M)Raw data1_YCL2012-010I-SKB Presentation_YCL 8(H+G1_Changeover_12~18 April, 2012_SK Raw data of SKB in Yc-8-(J) 01~05 Dec'2012_Book1" xfId="3269" xr:uid="{00000000-0005-0000-0000-0000C40C0000}"/>
    <cellStyle name="_YC~8-(F+M)Raw data1_YCL2012-010I-SKB Presentation_YCL 8(H+G1_Changeover_12~18 April, 2012_SK Raw data of SKB in Yc-8-(J) 01~05 Dec'2012_Style Changeover Data Information-" xfId="3270" xr:uid="{00000000-0005-0000-0000-0000C50C0000}"/>
    <cellStyle name="_YC~8-(F+M)Raw data1_YCL2012-010I-SKB Presentation_YCL 8(H+G1_Changeover_12~18 April, 2012_SK Raw data of SKB in Yc-8-(J) 01~05 Dec'2012_Style Changeover Data Information-YCL13C" xfId="3271" xr:uid="{00000000-0005-0000-0000-0000C60C0000}"/>
    <cellStyle name="_YC~8-(F+M)Raw data1_YCL2012-010I-SKB Presentation_YCL 8(H+G1_Changeover_12~18 April, 2012_SKB RAW DATA" xfId="3272" xr:uid="{00000000-0005-0000-0000-0000C70C0000}"/>
    <cellStyle name="_YC~8-(F+M)Raw data1_YCL2012-010I-SKB Presentation_YCL 8(H+G1_Changeover_12~18 April, 2012_SKB YC-8(J)" xfId="3273" xr:uid="{00000000-0005-0000-0000-0000C80C0000}"/>
    <cellStyle name="_YC~8-(F+M)Raw data1_YCL2012-010I-SKB Presentation_YCL 8(H+G1_Changeover_12~18 April, 2012_SKB(Sewing Kaizen - YCL 14 (A)" xfId="3274" xr:uid="{00000000-0005-0000-0000-0000C90C0000}"/>
    <cellStyle name="_YC~8-(F+M)Raw data1_YCL2012-010I-SKB Presentation_YCL 8(H+G1_Changeover_12~18 April, 2012_SQDC Board format (revised)-2013" xfId="3275" xr:uid="{00000000-0005-0000-0000-0000CA0C0000}"/>
    <cellStyle name="_YC~8-(F+M)Raw data1_YCL2012-010I-SKB Presentation_YCL 8(H+G1_Changeover_12~18 April, 2012_Style Changeover Data Information-" xfId="3276" xr:uid="{00000000-0005-0000-0000-0000CB0C0000}"/>
    <cellStyle name="_YC~8-(F+M)Raw data1_YCL2012-010I-SKB Presentation_YCL 8(H+G1_Changeover_12~18 April, 2012_Xl0000034" xfId="3277" xr:uid="{00000000-0005-0000-0000-0000CC0C0000}"/>
    <cellStyle name="_YC~8-(F+M)Raw data1_Ycl-8-H+G2 Flow chart3" xfId="3278" xr:uid="{00000000-0005-0000-0000-0000CD0C0000}"/>
    <cellStyle name="_Yc-6E" xfId="3279" xr:uid="{00000000-0005-0000-0000-0000CE0C0000}"/>
    <cellStyle name="_YC-8 (I+G2) Raw data" xfId="3280" xr:uid="{00000000-0005-0000-0000-0000CF0C0000}"/>
    <cellStyle name="_YC-8(F+M)" xfId="3281" xr:uid="{00000000-0005-0000-0000-0000D00C0000}"/>
    <cellStyle name="_Yc-8A Flow" xfId="3282" xr:uid="{00000000-0005-0000-0000-0000D10C0000}"/>
    <cellStyle name="_Yc-8A Flow1" xfId="3283" xr:uid="{00000000-0005-0000-0000-0000D20C0000}"/>
    <cellStyle name="_YC-8-I+G1  29-04-20121" xfId="3284" xr:uid="{00000000-0005-0000-0000-0000D30C0000}"/>
    <cellStyle name="_YCL - 8(C) 02-5-11 to 05-5-11 " xfId="3285" xr:uid="{00000000-0005-0000-0000-0000D40C0000}"/>
    <cellStyle name="_YCL - 8(D+MOD)~Raw data" xfId="3286" xr:uid="{00000000-0005-0000-0000-0000D50C0000}"/>
    <cellStyle name="_YCL - 8A~Raw data" xfId="3287" xr:uid="{00000000-0005-0000-0000-0000D60C0000}"/>
    <cellStyle name="_YCL - 8C(June)~Raw data4" xfId="3288" xr:uid="{00000000-0005-0000-0000-0000D70C0000}"/>
    <cellStyle name="_YCL - 8F" xfId="3289" xr:uid="{00000000-0005-0000-0000-0000D80C0000}"/>
    <cellStyle name="_YCL - 8F~Raw data" xfId="3290" xr:uid="{00000000-0005-0000-0000-0000D90C0000}"/>
    <cellStyle name="_YCL - 8F~Raw data (Before)" xfId="3291" xr:uid="{00000000-0005-0000-0000-0000DA0C0000}"/>
    <cellStyle name="_YCL - 8J~Raw data(13-07 to19 -07) " xfId="3292" xr:uid="{00000000-0005-0000-0000-0000DB0C0000}"/>
    <cellStyle name="_YCL_8 (I+G2) Raw data" xfId="3293" xr:uid="{00000000-0005-0000-0000-0000DC0C0000}"/>
    <cellStyle name="_YCL2012_003I_SKB Presentation_YCL 8-I+G2(Changeover)_24~29 Aprl,2012 (version 1)" xfId="3294" xr:uid="{00000000-0005-0000-0000-0000DD0C0000}"/>
    <cellStyle name="_Ycl-6C." xfId="3295" xr:uid="{00000000-0005-0000-0000-0000DE0C0000}"/>
    <cellStyle name="_YCL-8" xfId="3296" xr:uid="{00000000-0005-0000-0000-0000DF0C0000}"/>
    <cellStyle name="_YCL-8(A)" xfId="3297" xr:uid="{00000000-0005-0000-0000-0000E00C0000}"/>
    <cellStyle name="_YCL-8(c)" xfId="3298" xr:uid="{00000000-0005-0000-0000-0000E10C0000}"/>
    <cellStyle name="_YCL-8(c)1" xfId="3299" xr:uid="{00000000-0005-0000-0000-0000E20C0000}"/>
    <cellStyle name="_YCL-8(D)" xfId="3300" xr:uid="{00000000-0005-0000-0000-0000E30C0000}"/>
    <cellStyle name="_YCL-8(D+Mod)" xfId="3301" xr:uid="{00000000-0005-0000-0000-0000E40C0000}"/>
    <cellStyle name="_YCL-8(E+MOD)" xfId="3302" xr:uid="{00000000-0005-0000-0000-0000E50C0000}"/>
    <cellStyle name="_YCL-8(H+G1)   16-07-11" xfId="3303" xr:uid="{00000000-0005-0000-0000-0000E60C0000}"/>
    <cellStyle name="_YCL-8(MOD+F)" xfId="3304" xr:uid="{00000000-0005-0000-0000-0000E70C0000}"/>
    <cellStyle name="_YCL-8_After 5's" xfId="3305" xr:uid="{00000000-0005-0000-0000-0000E80C0000}"/>
    <cellStyle name="_YCL-8_Base Line Data YC-8(C)" xfId="3306" xr:uid="{00000000-0005-0000-0000-0000E90C0000}"/>
    <cellStyle name="_YCL-8_Base line Data-YC-15(G)" xfId="3307" xr:uid="{00000000-0005-0000-0000-0000EA0C0000}"/>
    <cellStyle name="_YCL-8_Before 5's YC-8(C)" xfId="3308" xr:uid="{00000000-0005-0000-0000-0000EB0C0000}"/>
    <cellStyle name="_YCL-8_Book1" xfId="3309" xr:uid="{00000000-0005-0000-0000-0000EC0C0000}"/>
    <cellStyle name="_YCL-8_Copy of SK Raw data of SKB in Yc-6-(C) 26~31Jan '20131" xfId="3310" xr:uid="{00000000-0005-0000-0000-0000ED0C0000}"/>
    <cellStyle name="_YCL-8_Flow Chart YC-8(C) Before1" xfId="3311" xr:uid="{00000000-0005-0000-0000-0000EE0C0000}"/>
    <cellStyle name="_YCL-8_Graph-6B3" xfId="3312" xr:uid="{00000000-0005-0000-0000-0000EF0C0000}"/>
    <cellStyle name="_YCL-8_Graph-6B4" xfId="3313" xr:uid="{00000000-0005-0000-0000-0000F00C0000}"/>
    <cellStyle name="_YCL-8_Graph-6B5" xfId="3314" xr:uid="{00000000-0005-0000-0000-0000F10C0000}"/>
    <cellStyle name="_YCL-8_MFC(Yc 10C)" xfId="3315" xr:uid="{00000000-0005-0000-0000-0000F20C0000}"/>
    <cellStyle name="_YCL-8_OCT Graph A1" xfId="3316" xr:uid="{00000000-0005-0000-0000-0000F30C0000}"/>
    <cellStyle name="_YCL-8_peroto Chart YC-8" xfId="3317" xr:uid="{00000000-0005-0000-0000-0000F40C0000}"/>
    <cellStyle name="_YCL-8_SK Raw data of SKB in Yc-8-(J) 01~05 Dec'2012" xfId="3318" xr:uid="{00000000-0005-0000-0000-0000F50C0000}"/>
    <cellStyle name="_YCL-8_SK Raw data of SKB in Yc-8-(J) 01~05 Dec'2012_Base line Data-YC-15(G)" xfId="3319" xr:uid="{00000000-0005-0000-0000-0000F60C0000}"/>
    <cellStyle name="_YCL-8_SK Raw data of SKB in Yc-8-(J) 01~05 Dec'2012_Book1" xfId="3320" xr:uid="{00000000-0005-0000-0000-0000F70C0000}"/>
    <cellStyle name="_YCL-8_SK Raw data of SKB in Yc-8-(J) 01~05 Dec'2012_Style Changeover Data Information-" xfId="3321" xr:uid="{00000000-0005-0000-0000-0000F80C0000}"/>
    <cellStyle name="_YCL-8_SK Raw data of SKB in Yc-8-(J) 01~05 Dec'2012_Style Changeover Data Information-YCL13C" xfId="3322" xr:uid="{00000000-0005-0000-0000-0000F90C0000}"/>
    <cellStyle name="_YCL-8_SKB RAW DATA" xfId="3323" xr:uid="{00000000-0005-0000-0000-0000FA0C0000}"/>
    <cellStyle name="_YCL-8_SKB YC-8(J)" xfId="3324" xr:uid="{00000000-0005-0000-0000-0000FB0C0000}"/>
    <cellStyle name="_YCL-8_SKB(Sewing Kaizen - YCL 14 (A)" xfId="3325" xr:uid="{00000000-0005-0000-0000-0000FC0C0000}"/>
    <cellStyle name="_YCL-8_SQDC Board format (revised)-2013" xfId="3326" xr:uid="{00000000-0005-0000-0000-0000FD0C0000}"/>
    <cellStyle name="_YCL-8_Style Change Over YC-6 E 23~227 Mar, 2013" xfId="3327" xr:uid="{00000000-0005-0000-0000-0000FE0C0000}"/>
    <cellStyle name="_YCL-8_Style Change Over YC-7H  16~21 Aprl, 2013" xfId="3328" xr:uid="{00000000-0005-0000-0000-0000FF0C0000}"/>
    <cellStyle name="_YCL-8_Style Changeover Data Information-" xfId="3329" xr:uid="{00000000-0005-0000-0000-0000000D0000}"/>
    <cellStyle name="_YCL-8_Xl0000034" xfId="3330" xr:uid="{00000000-0005-0000-0000-0000010D0000}"/>
    <cellStyle name="_YCL-8_Yc-9E" xfId="3331" xr:uid="{00000000-0005-0000-0000-0000020D0000}"/>
    <cellStyle name="_YCL-8_Yc-9E_Style Change Over YC-7H  16~21 Aprl, 2013" xfId="3332" xr:uid="{00000000-0005-0000-0000-0000030D0000}"/>
    <cellStyle name="_YCL-8_Yc-9E_Style Change Over YC-7H  16~21 Aprl, 2013_Base line Data-YC-15(G)" xfId="3333" xr:uid="{00000000-0005-0000-0000-0000040D0000}"/>
    <cellStyle name="_YCL-8_Yc-9E_Style Change Over YC-7H  16~21 Aprl, 2013_Book1" xfId="3334" xr:uid="{00000000-0005-0000-0000-0000050D0000}"/>
    <cellStyle name="_YCL-8_Yc-9E_Style Change Over YC-7H  16~21 Aprl, 2013_Style Changeover Data Information-" xfId="3335" xr:uid="{00000000-0005-0000-0000-0000060D0000}"/>
    <cellStyle name="_YCL-8_Yc-9E_Style Change Over YC-7H  16~21 Aprl, 2013_Style Changeover Data Information-YCL13C" xfId="3336" xr:uid="{00000000-0005-0000-0000-0000070D0000}"/>
    <cellStyle name="_YCL-8_Yc-9E_Style Change Over YC-9 (I)  28~02 May, 2013" xfId="3337" xr:uid="{00000000-0005-0000-0000-0000080D0000}"/>
    <cellStyle name="_YCL-8_Yc-9E_Style Change Over YC-9 (I)  28~02 May, 2013_Base line Data-YC-15(G)" xfId="3338" xr:uid="{00000000-0005-0000-0000-0000090D0000}"/>
    <cellStyle name="_YCL-8_Yc-9E_Style Change Over YC-9 (I)  28~02 May, 2013_Book1" xfId="3339" xr:uid="{00000000-0005-0000-0000-00000A0D0000}"/>
    <cellStyle name="_YCL-8_Yc-9E_Style Change Over YC-9 (I)  28~02 May, 2013_Style Changeover Data Information-" xfId="3340" xr:uid="{00000000-0005-0000-0000-00000B0D0000}"/>
    <cellStyle name="_YCL-8_Yc-9E_Style Change Over YC-9 (I)  28~02 May, 2013_Style Changeover Data Information-YCL13C" xfId="3341" xr:uid="{00000000-0005-0000-0000-00000C0D0000}"/>
    <cellStyle name="_YCL-8_Yc-9E1" xfId="3342" xr:uid="{00000000-0005-0000-0000-00000D0D0000}"/>
    <cellStyle name="_YCL-8_Yc-9E1_Style Change Over YC-7H  16~21 Aprl, 2013" xfId="3343" xr:uid="{00000000-0005-0000-0000-00000E0D0000}"/>
    <cellStyle name="_YCL-8_Yc-9E1_Style Change Over YC-7H  16~21 Aprl, 2013_Base line Data-YC-15(G)" xfId="3344" xr:uid="{00000000-0005-0000-0000-00000F0D0000}"/>
    <cellStyle name="_YCL-8_Yc-9E1_Style Change Over YC-7H  16~21 Aprl, 2013_Book1" xfId="3345" xr:uid="{00000000-0005-0000-0000-0000100D0000}"/>
    <cellStyle name="_YCL-8_Yc-9E1_Style Change Over YC-7H  16~21 Aprl, 2013_Style Changeover Data Information-" xfId="3346" xr:uid="{00000000-0005-0000-0000-0000110D0000}"/>
    <cellStyle name="_YCL-8_Yc-9E1_Style Change Over YC-7H  16~21 Aprl, 2013_Style Changeover Data Information-YCL13C" xfId="3347" xr:uid="{00000000-0005-0000-0000-0000120D0000}"/>
    <cellStyle name="_YCL-8_Yc-9E1_Style Change Over YC-9 (I)  28~02 May, 2013" xfId="3348" xr:uid="{00000000-0005-0000-0000-0000130D0000}"/>
    <cellStyle name="_YCL-8_Yc-9E1_Style Change Over YC-9 (I)  28~02 May, 2013_Base line Data-YC-15(G)" xfId="3349" xr:uid="{00000000-0005-0000-0000-0000140D0000}"/>
    <cellStyle name="_YCL-8_Yc-9E1_Style Change Over YC-9 (I)  28~02 May, 2013_Book1" xfId="3350" xr:uid="{00000000-0005-0000-0000-0000150D0000}"/>
    <cellStyle name="_YCL-8_Yc-9E1_Style Change Over YC-9 (I)  28~02 May, 2013_Style Changeover Data Information-" xfId="3351" xr:uid="{00000000-0005-0000-0000-0000160D0000}"/>
    <cellStyle name="_YCL-8_Yc-9E1_Style Change Over YC-9 (I)  28~02 May, 2013_Style Changeover Data Information-YCL13C" xfId="3352" xr:uid="{00000000-0005-0000-0000-0000170D0000}"/>
    <cellStyle name="_YCL-8_Ycl-6C" xfId="3353" xr:uid="{00000000-0005-0000-0000-0000180D0000}"/>
    <cellStyle name="_YCL-8_Ycl-7H" xfId="3354" xr:uid="{00000000-0005-0000-0000-0000190D0000}"/>
    <cellStyle name="_YCL-8_Ycl-7H_Base line Data-YC-15(G)" xfId="3355" xr:uid="{00000000-0005-0000-0000-00001A0D0000}"/>
    <cellStyle name="_YCL-8_Ycl-7H_Book1" xfId="3356" xr:uid="{00000000-0005-0000-0000-00001B0D0000}"/>
    <cellStyle name="_YCL-8_Ycl-7H_Style Changeover Data Information-" xfId="3357" xr:uid="{00000000-0005-0000-0000-00001C0D0000}"/>
    <cellStyle name="_YCL-8_Ycl-7H_Style Changeover Data Information-YCL13C" xfId="3358" xr:uid="{00000000-0005-0000-0000-00001D0D0000}"/>
    <cellStyle name="_YCL-8FI+Mod)" xfId="3359" xr:uid="{00000000-0005-0000-0000-00001E0D0000}"/>
    <cellStyle name="_Ycl-8-H+G2 Flow chart3" xfId="3360" xr:uid="{00000000-0005-0000-0000-00001F0D0000}"/>
    <cellStyle name="_Ycl-8-H+G2 Flow chart3_After 5's" xfId="3361" xr:uid="{00000000-0005-0000-0000-0000200D0000}"/>
    <cellStyle name="_Ycl-8-H+G2 Flow chart3_Base Line Data YC-8(C)" xfId="3362" xr:uid="{00000000-0005-0000-0000-0000210D0000}"/>
    <cellStyle name="_Ycl-8-H+G2 Flow chart3_Base line Data-YC-15(G)" xfId="3363" xr:uid="{00000000-0005-0000-0000-0000220D0000}"/>
    <cellStyle name="_Ycl-8-H+G2 Flow chart3_Book1" xfId="3364" xr:uid="{00000000-0005-0000-0000-0000230D0000}"/>
    <cellStyle name="_Ycl-8-H+G2 Flow chart3_Copy of SK Raw data of SKB in Yc-6-(C) 26~31Jan '20131" xfId="3365" xr:uid="{00000000-0005-0000-0000-0000240D0000}"/>
    <cellStyle name="_Ycl-8-H+G2 Flow chart3_Flow Chart YC-8(C) Before1" xfId="3366" xr:uid="{00000000-0005-0000-0000-0000250D0000}"/>
    <cellStyle name="_Ycl-8-H+G2 Flow chart3_MFC(Yc 10C)" xfId="3367" xr:uid="{00000000-0005-0000-0000-0000260D0000}"/>
    <cellStyle name="_Ycl-8-H+G2 Flow chart3_OCT Graph A1" xfId="3368" xr:uid="{00000000-0005-0000-0000-0000270D0000}"/>
    <cellStyle name="_Ycl-8-H+G2 Flow chart3_SK Raw data of SKB in Yc-8-(J) 01~05 Dec'2012" xfId="3369" xr:uid="{00000000-0005-0000-0000-0000280D0000}"/>
    <cellStyle name="_Ycl-8-H+G2 Flow chart3_SK Raw data of SKB in Yc-8-(J) 01~05 Dec'2012_Base line Data-YC-15(G)" xfId="3370" xr:uid="{00000000-0005-0000-0000-0000290D0000}"/>
    <cellStyle name="_Ycl-8-H+G2 Flow chart3_SK Raw data of SKB in Yc-8-(J) 01~05 Dec'2012_Book1" xfId="3371" xr:uid="{00000000-0005-0000-0000-00002A0D0000}"/>
    <cellStyle name="_Ycl-8-H+G2 Flow chart3_SK Raw data of SKB in Yc-8-(J) 01~05 Dec'2012_Style Changeover Data Information-" xfId="3372" xr:uid="{00000000-0005-0000-0000-00002B0D0000}"/>
    <cellStyle name="_Ycl-8-H+G2 Flow chart3_SK Raw data of SKB in Yc-8-(J) 01~05 Dec'2012_Style Changeover Data Information-YCL13C" xfId="3373" xr:uid="{00000000-0005-0000-0000-00002C0D0000}"/>
    <cellStyle name="_Ycl-8-H+G2 Flow chart3_SKB RAW DATA" xfId="3374" xr:uid="{00000000-0005-0000-0000-00002D0D0000}"/>
    <cellStyle name="_Ycl-8-H+G2 Flow chart3_SKB YC-8(J)" xfId="3375" xr:uid="{00000000-0005-0000-0000-00002E0D0000}"/>
    <cellStyle name="_Ycl-8-H+G2 Flow chart3_SKB(Sewing Kaizen - YCL 14 (A)" xfId="3376" xr:uid="{00000000-0005-0000-0000-00002F0D0000}"/>
    <cellStyle name="_Ycl-8-H+G2 Flow chart3_SQDC Board format (revised)-2013" xfId="3377" xr:uid="{00000000-0005-0000-0000-0000300D0000}"/>
    <cellStyle name="_Ycl-8-H+G2 Flow chart3_Style Change Over YC-6 E 23~227 Mar, 2013" xfId="3378" xr:uid="{00000000-0005-0000-0000-0000310D0000}"/>
    <cellStyle name="_Ycl-8-H+G2 Flow chart3_Style Change Over YC-7H  16~21 Aprl, 2013" xfId="3379" xr:uid="{00000000-0005-0000-0000-0000320D0000}"/>
    <cellStyle name="_Ycl-8-H+G2 Flow chart3_Style Changeover Data Information-" xfId="3380" xr:uid="{00000000-0005-0000-0000-0000330D0000}"/>
    <cellStyle name="_Ycl-8-H+G2 Flow chart3_Xl0000034" xfId="3381" xr:uid="{00000000-0005-0000-0000-0000340D0000}"/>
    <cellStyle name="_Ycl-8J" xfId="3382" xr:uid="{00000000-0005-0000-0000-0000350D0000}"/>
    <cellStyle name="_Yht Sep ' 10" xfId="3383" xr:uid="{00000000-0005-0000-0000-0000360D0000}"/>
    <cellStyle name="_Yht Sep ' 10 2" xfId="3384" xr:uid="{00000000-0005-0000-0000-0000370D0000}"/>
    <cellStyle name="_Yht Sep ' 10_27- JULY- 01 AUG" xfId="3385" xr:uid="{00000000-0005-0000-0000-0000380D0000}"/>
    <cellStyle name="_Yht Sep ' 10_27- JULY- 01 AUG_BD All Fac Weekly Eff% Status (20th Oct- 24th Oct ) ' 13" xfId="3386" xr:uid="{00000000-0005-0000-0000-0000390D0000}"/>
    <cellStyle name="_Yht Sep ' 10_All  Raw (Jan to Apr) 2013 (1)........" xfId="3387" xr:uid="{00000000-0005-0000-0000-00003A0D0000}"/>
    <cellStyle name="_Yht Sep ' 10_All 2013 Up to 16 th May " xfId="3388" xr:uid="{00000000-0005-0000-0000-00003B0D0000}"/>
    <cellStyle name="_Yht Sep ' 10_All 2013 Up to 16 th May after revised top 70" xfId="3389" xr:uid="{00000000-0005-0000-0000-00003C0D0000}"/>
    <cellStyle name="_Yht Sep ' 10_All 2013 Up to 6th June" xfId="3390" xr:uid="{00000000-0005-0000-0000-00003D0D0000}"/>
    <cellStyle name="_Yht Sep ' 10_All 2013 Up to 9th May " xfId="3391" xr:uid="{00000000-0005-0000-0000-00003E0D0000}"/>
    <cellStyle name="_Yht Sep ' 10_All 2013 Update Virsion for Work update" xfId="3392" xr:uid="{00000000-0005-0000-0000-00003F0D0000}"/>
    <cellStyle name="_Yht Sep ' 10_All 2013 Update Virsion g" xfId="3393" xr:uid="{00000000-0005-0000-0000-0000400D0000}"/>
    <cellStyle name="_Yht Sep ' 10_April'01-04-2013" xfId="3394" xr:uid="{00000000-0005-0000-0000-0000410D0000}"/>
    <cellStyle name="_Yht Sep ' 10_April'01-04-2013_BD All Fac Weekly Eff% Status (20th Oct- 24th Oct ) ' 13" xfId="3395" xr:uid="{00000000-0005-0000-0000-0000420D0000}"/>
    <cellStyle name="_Yht Sep ' 10_aPRIL-29-02 mAY" xfId="3396" xr:uid="{00000000-0005-0000-0000-0000430D0000}"/>
    <cellStyle name="_Yht Sep ' 10_aPRIL-29-02 mAY_BD All Fac Weekly Eff% Status (20th Oct- 24th Oct ) ' 13" xfId="3397" xr:uid="{00000000-0005-0000-0000-0000440D0000}"/>
    <cellStyle name="_Yht Sep ' 10_August '01-08-2013" xfId="3398" xr:uid="{00000000-0005-0000-0000-0000450D0000}"/>
    <cellStyle name="_Yht Sep ' 10_August '01-08-2013_1" xfId="3399" xr:uid="{00000000-0005-0000-0000-0000460D0000}"/>
    <cellStyle name="_Yht Sep ' 10_August '01-08-2013_BD All Fac Weekly Eff% Status (20th Oct- 24th Oct ) ' 13" xfId="3400" xr:uid="{00000000-0005-0000-0000-0000470D0000}"/>
    <cellStyle name="_Yht Sep ' 10_BD All Fac Weekly Eff% Status (11th Aug to 17th Aug) ' 12" xfId="3401" xr:uid="{00000000-0005-0000-0000-0000480D0000}"/>
    <cellStyle name="_Yht Sep ' 10_BD All Fac Weekly Eff% Status (14th July to 20th July) ' 12" xfId="3402" xr:uid="{00000000-0005-0000-0000-0000490D0000}"/>
    <cellStyle name="_Yht Sep ' 10_BD All Fac Weekly Eff% Status (20th Oct- 24th Oct ) ' 13" xfId="3403" xr:uid="{00000000-0005-0000-0000-00004A0D0000}"/>
    <cellStyle name="_Yht Sep ' 10_BD All Fac Weekly Eff% Status (22nd Sep to 28th Sep) ' 12" xfId="3404" xr:uid="{00000000-0005-0000-0000-00004B0D0000}"/>
    <cellStyle name="_Yht Sep ' 10_BD All Fac Weekly Eff% Status (2nd June to 8th June) ' 12" xfId="3405" xr:uid="{00000000-0005-0000-0000-00004C0D0000}"/>
    <cellStyle name="_Yht Sep ' 10_BD All Fac Weekly Eff% Status (30th Mar -5th Apr) ' 13" xfId="3406" xr:uid="{00000000-0005-0000-0000-00004D0D0000}"/>
    <cellStyle name="_Yht Sep ' 10_BD All Fac Weekly Eff% Status (3rd Nov to 9th Nov) ' 12" xfId="3407" xr:uid="{00000000-0005-0000-0000-00004E0D0000}"/>
    <cellStyle name="_Yht Sep ' 10_BD All Fac Weekly Eff% Status (6th Oct to 12th Oct) ' 12" xfId="3408" xr:uid="{00000000-0005-0000-0000-00004F0D0000}"/>
    <cellStyle name="_Yht Sep ' 10_Daily Production Report Feb''12" xfId="3409" xr:uid="{00000000-0005-0000-0000-0000500D0000}"/>
    <cellStyle name="_Yht Sep ' 10_Daily Production ReportApril.2" xfId="3410" xr:uid="{00000000-0005-0000-0000-0000510D0000}"/>
    <cellStyle name="_Yht Sep ' 10_December'01-12-201213 Anima" xfId="3411" xr:uid="{00000000-0005-0000-0000-0000520D0000}"/>
    <cellStyle name="_Yht Sep ' 10_December'01-12-201213 Anima_BD All Fac Weekly Eff% Status (20th Oct- 24th Oct ) ' 13" xfId="3412" xr:uid="{00000000-0005-0000-0000-0000530D0000}"/>
    <cellStyle name="_Yht Sep ' 10_December'01-12-201213 Anima_BD All Fac Weekly Eff% Status (30th Mar -5th Apr) ' 13" xfId="3413" xr:uid="{00000000-0005-0000-0000-0000540D0000}"/>
    <cellStyle name="_Yht Sep ' 10_February '01-02-2014" xfId="3414" xr:uid="{00000000-0005-0000-0000-0000550D0000}"/>
    <cellStyle name="_Yht Sep ' 10_February'01-02-2013" xfId="3415" xr:uid="{00000000-0005-0000-0000-0000560D0000}"/>
    <cellStyle name="_Yht Sep ' 10_February'01-02-2013_BD All Fac Weekly Eff% Status (20th Oct- 24th Oct ) ' 13" xfId="3416" xr:uid="{00000000-0005-0000-0000-0000570D0000}"/>
    <cellStyle name="_Yht Sep ' 10_February'01-02-2013_BD All Fac Weekly Eff% Status (30th Mar -5th Apr) ' 13" xfId="3417" xr:uid="{00000000-0005-0000-0000-0000580D0000}"/>
    <cellStyle name="_Yht Sep ' 10_January '01-01-2014" xfId="3418" xr:uid="{00000000-0005-0000-0000-0000590D0000}"/>
    <cellStyle name="_Yht Sep ' 10_January'01-01-2013" xfId="3419" xr:uid="{00000000-0005-0000-0000-00005A0D0000}"/>
    <cellStyle name="_Yht Sep ' 10_January'01-01-2013_BD All Fac Weekly Eff% Status (20th Oct- 24th Oct ) ' 13" xfId="3420" xr:uid="{00000000-0005-0000-0000-00005B0D0000}"/>
    <cellStyle name="_Yht Sep ' 10_January'01-01-2013_BD All Fac Weekly Eff% Status (30th Mar -5th Apr) ' 13" xfId="3421" xr:uid="{00000000-0005-0000-0000-00005C0D0000}"/>
    <cellStyle name="_Yht Sep ' 10_JULY '01-07-2013" xfId="3422" xr:uid="{00000000-0005-0000-0000-00005D0D0000}"/>
    <cellStyle name="_Yht Sep ' 10_JULY '01-07-2013_BD All Fac Weekly Eff% Status (20th Oct- 24th Oct ) ' 13" xfId="3423" xr:uid="{00000000-0005-0000-0000-00005E0D0000}"/>
    <cellStyle name="_Yht Sep ' 10_JUNE '01-06-2013" xfId="3424" xr:uid="{00000000-0005-0000-0000-00005F0D0000}"/>
    <cellStyle name="_Yht Sep ' 10_JUNE '01-06-2013_BD All Fac Weekly Eff% Status (20th Oct- 24th Oct ) ' 13" xfId="3425" xr:uid="{00000000-0005-0000-0000-0000600D0000}"/>
    <cellStyle name="_Yht Sep ' 10_JUNE '29-04 JULY" xfId="3426" xr:uid="{00000000-0005-0000-0000-0000610D0000}"/>
    <cellStyle name="_Yht Sep ' 10_Lsl Daily Prdn Report Mar'121" xfId="3427" xr:uid="{00000000-0005-0000-0000-0000620D0000}"/>
    <cellStyle name="_Yht Sep ' 10_March'" xfId="3428" xr:uid="{00000000-0005-0000-0000-0000630D0000}"/>
    <cellStyle name="_Yht Sep ' 10_March '01-03-20146" xfId="3429" xr:uid="{00000000-0005-0000-0000-0000640D0000}"/>
    <cellStyle name="_Yht Sep ' 10_March'_BD All Fac Weekly Eff% Status (20th Oct- 24th Oct ) ' 13" xfId="3430" xr:uid="{00000000-0005-0000-0000-0000650D0000}"/>
    <cellStyle name="_Yht Sep ' 10_March'01-02-2013" xfId="3431" xr:uid="{00000000-0005-0000-0000-0000660D0000}"/>
    <cellStyle name="_Yht Sep ' 10_March'01-02-2013_BD All Fac Weekly Eff% Status (20th Oct- 24th Oct ) ' 13" xfId="3432" xr:uid="{00000000-0005-0000-0000-0000670D0000}"/>
    <cellStyle name="_Yht Sep ' 10_March'01-02-2013_BD All Fac Weekly Eff% Status (30th Mar -5th Apr) ' 13" xfId="3433" xr:uid="{00000000-0005-0000-0000-0000680D0000}"/>
    <cellStyle name="_Yht Sep ' 10_May '01-05-2013" xfId="3434" xr:uid="{00000000-0005-0000-0000-0000690D0000}"/>
    <cellStyle name="_Yht Sep ' 10_May '01-05-2013_BD All Fac Weekly Eff% Status (20th Oct- 24th Oct ) ' 13" xfId="3435" xr:uid="{00000000-0005-0000-0000-00006A0D0000}"/>
    <cellStyle name="_Yht Sep ' 10_November '01-10-2013" xfId="3436" xr:uid="{00000000-0005-0000-0000-00006B0D0000}"/>
    <cellStyle name="_Yht Sep ' 10_October '01-10-2013" xfId="3437" xr:uid="{00000000-0005-0000-0000-00006C0D0000}"/>
    <cellStyle name="_Yht Sep ' 10_Sep-oct" xfId="3438" xr:uid="{00000000-0005-0000-0000-00006D0D0000}"/>
    <cellStyle name="_Yht Sep ' 10_September '01-09-2013" xfId="3439" xr:uid="{00000000-0005-0000-0000-00006E0D0000}"/>
    <cellStyle name="_Yht Sep ' 10_Tsl Daily Production Report Nov '127." xfId="3440" xr:uid="{00000000-0005-0000-0000-00006F0D0000}"/>
    <cellStyle name="_Yht Sep ' 10_Weekly prdn" xfId="3441" xr:uid="{00000000-0005-0000-0000-0000700D0000}"/>
    <cellStyle name="_Yht Sep ' 10_Weekly Status" xfId="3442" xr:uid="{00000000-0005-0000-0000-0000710D0000}"/>
    <cellStyle name="_Yht Sep ' 10_Ycl Weekly Status (24th Nov 29th Nov)'12" xfId="3443" xr:uid="{00000000-0005-0000-0000-0000720D0000}"/>
    <cellStyle name="_Yht Sep ' 10_Ysl Weekly Status-201228" xfId="3444" xr:uid="{00000000-0005-0000-0000-0000730D0000}"/>
    <cellStyle name="_Yht Sep ' 10_Ysl Weekly Status-201229" xfId="3445" xr:uid="{00000000-0005-0000-0000-0000740D0000}"/>
    <cellStyle name="_Yht Sep ' 10_Ysl Weekly Status-201230" xfId="3446" xr:uid="{00000000-0005-0000-0000-0000750D0000}"/>
    <cellStyle name="_Yht Sep ' 10_Ysl Weekly Status-201231" xfId="3447" xr:uid="{00000000-0005-0000-0000-0000760D0000}"/>
    <cellStyle name="_Yht Sep ' 10_Ysl Weekly Status-201233" xfId="3448" xr:uid="{00000000-0005-0000-0000-0000770D0000}"/>
    <cellStyle name="_Yht Sep ' 10_Ysl Weekly Status-201234" xfId="3449" xr:uid="{00000000-0005-0000-0000-0000780D0000}"/>
    <cellStyle name="_Yht Sep ' 10_Ysl Weekly Status-201235" xfId="3450" xr:uid="{00000000-0005-0000-0000-0000790D0000}"/>
    <cellStyle name="_Yht Sep ' 10_Ysl Weekly Status-201236" xfId="3451" xr:uid="{00000000-0005-0000-0000-00007A0D0000}"/>
    <cellStyle name="_Yht Sep ' 10_Ysl Weekly Status-201237" xfId="3452" xr:uid="{00000000-0005-0000-0000-00007B0D0000}"/>
    <cellStyle name="_Yht Sep ' 10_Ysl Weekly Status-201238" xfId="3453" xr:uid="{00000000-0005-0000-0000-00007C0D0000}"/>
    <cellStyle name="_Yht Sep ' 10_Ysl Weekly Status-201239" xfId="3454" xr:uid="{00000000-0005-0000-0000-00007D0D0000}"/>
    <cellStyle name="_Yht Sep ' 10_Ysl Weekly Status-201240" xfId="3455" xr:uid="{00000000-0005-0000-0000-00007E0D0000}"/>
    <cellStyle name="_Yht Sep ' 10_Ysl Weekly Status-201241" xfId="3456" xr:uid="{00000000-0005-0000-0000-00007F0D0000}"/>
    <cellStyle name="_Yht Sep ' 10_Ysl Weekly Status-2013" xfId="3457" xr:uid="{00000000-0005-0000-0000-0000800D0000}"/>
    <cellStyle name="_Yht Sep ' 10_Ysl Weekly Status-20131" xfId="3458" xr:uid="{00000000-0005-0000-0000-0000810D0000}"/>
    <cellStyle name="_Yht Sep ' 10_Ysl Weekly Status-20132" xfId="3459" xr:uid="{00000000-0005-0000-0000-0000820D0000}"/>
    <cellStyle name="_Yht Sep ' 10_Ysl Weekly Status-20133" xfId="3460" xr:uid="{00000000-0005-0000-0000-0000830D0000}"/>
    <cellStyle name="_Yht Sep ' 10_Ysl Weekly Status-20134" xfId="3461" xr:uid="{00000000-0005-0000-0000-0000840D0000}"/>
    <cellStyle name="_YO DLPB Format-Sewing-E" xfId="3462" xr:uid="{00000000-0005-0000-0000-0000850D0000}"/>
    <cellStyle name="_YO DLPB Format-Sewing-E_3.Style Change Over YCL- 8-(E+M) 17-24 July'2011" xfId="3463" xr:uid="{00000000-0005-0000-0000-0000860D0000}"/>
    <cellStyle name="_YO DLPB Format-Sewing-E_4.Style Change Over YCL- 8-(E+M) 13~17 Aug, 2011" xfId="3464" xr:uid="{00000000-0005-0000-0000-0000870D0000}"/>
    <cellStyle name="_YO DLPB Format-Sewing-E_4.Style Change Over YCL- 8-(E+M) 13~17 Aug, 2011_After 5's" xfId="3465" xr:uid="{00000000-0005-0000-0000-0000880D0000}"/>
    <cellStyle name="_YO DLPB Format-Sewing-E_4.Style Change Over YCL- 8-(E+M) 13~17 Aug, 2011_Base Line Data YC-8(C)" xfId="3466" xr:uid="{00000000-0005-0000-0000-0000890D0000}"/>
    <cellStyle name="_YO DLPB Format-Sewing-E_4.Style Change Over YCL- 8-(E+M) 13~17 Aug, 2011_Base line Data-YC-15(G)" xfId="3467" xr:uid="{00000000-0005-0000-0000-00008A0D0000}"/>
    <cellStyle name="_YO DLPB Format-Sewing-E_4.Style Change Over YCL- 8-(E+M) 13~17 Aug, 2011_Book1" xfId="3468" xr:uid="{00000000-0005-0000-0000-00008B0D0000}"/>
    <cellStyle name="_YO DLPB Format-Sewing-E_4.Style Change Over YCL- 8-(E+M) 13~17 Aug, 2011_Copy of SK Raw data of SKB in Yc-6-(C) 26~31Jan '20131" xfId="3469" xr:uid="{00000000-0005-0000-0000-00008C0D0000}"/>
    <cellStyle name="_YO DLPB Format-Sewing-E_4.Style Change Over YCL- 8-(E+M) 13~17 Aug, 2011_Flow Chart YC-8(C) Before1" xfId="3470" xr:uid="{00000000-0005-0000-0000-00008D0D0000}"/>
    <cellStyle name="_YO DLPB Format-Sewing-E_4.Style Change Over YCL- 8-(E+M) 13~17 Aug, 2011_MFC(Yc 10C)" xfId="3471" xr:uid="{00000000-0005-0000-0000-00008E0D0000}"/>
    <cellStyle name="_YO DLPB Format-Sewing-E_4.Style Change Over YCL- 8-(E+M) 13~17 Aug, 2011_OCT Graph A1" xfId="3472" xr:uid="{00000000-0005-0000-0000-00008F0D0000}"/>
    <cellStyle name="_YO DLPB Format-Sewing-E_4.Style Change Over YCL- 8-(E+M) 13~17 Aug, 2011_peroto Chart YC-8" xfId="3473" xr:uid="{00000000-0005-0000-0000-0000900D0000}"/>
    <cellStyle name="_YO DLPB Format-Sewing-E_4.Style Change Over YCL- 8-(E+M) 13~17 Aug, 2011_SK Raw data of SKB in Yc-8-(J) 01~05 Dec'2012" xfId="3474" xr:uid="{00000000-0005-0000-0000-0000910D0000}"/>
    <cellStyle name="_YO DLPB Format-Sewing-E_4.Style Change Over YCL- 8-(E+M) 13~17 Aug, 2011_SK Raw data of SKB in Yc-8-(J) 01~05 Dec'2012_Base line Data-YC-15(G)" xfId="3475" xr:uid="{00000000-0005-0000-0000-0000920D0000}"/>
    <cellStyle name="_YO DLPB Format-Sewing-E_4.Style Change Over YCL- 8-(E+M) 13~17 Aug, 2011_SK Raw data of SKB in Yc-8-(J) 01~05 Dec'2012_Book1" xfId="3476" xr:uid="{00000000-0005-0000-0000-0000930D0000}"/>
    <cellStyle name="_YO DLPB Format-Sewing-E_4.Style Change Over YCL- 8-(E+M) 13~17 Aug, 2011_SK Raw data of SKB in Yc-8-(J) 01~05 Dec'2012_Style Changeover Data Information-" xfId="3477" xr:uid="{00000000-0005-0000-0000-0000940D0000}"/>
    <cellStyle name="_YO DLPB Format-Sewing-E_4.Style Change Over YCL- 8-(E+M) 13~17 Aug, 2011_SK Raw data of SKB in Yc-8-(J) 01~05 Dec'2012_Style Changeover Data Information-YCL13C" xfId="3478" xr:uid="{00000000-0005-0000-0000-0000950D0000}"/>
    <cellStyle name="_YO DLPB Format-Sewing-E_4.Style Change Over YCL- 8-(E+M) 13~17 Aug, 2011_SKB RAW DATA" xfId="3479" xr:uid="{00000000-0005-0000-0000-0000960D0000}"/>
    <cellStyle name="_YO DLPB Format-Sewing-E_4.Style Change Over YCL- 8-(E+M) 13~17 Aug, 2011_SKB YC-8(J)" xfId="3480" xr:uid="{00000000-0005-0000-0000-0000970D0000}"/>
    <cellStyle name="_YO DLPB Format-Sewing-E_4.Style Change Over YCL- 8-(E+M) 13~17 Aug, 2011_SKB(Sewing Kaizen - YCL 14 (A)" xfId="3481" xr:uid="{00000000-0005-0000-0000-0000980D0000}"/>
    <cellStyle name="_YO DLPB Format-Sewing-E_4.Style Change Over YCL- 8-(E+M) 13~17 Aug, 2011_SQDC Board format (revised)-2013" xfId="3482" xr:uid="{00000000-0005-0000-0000-0000990D0000}"/>
    <cellStyle name="_YO DLPB Format-Sewing-E_4.Style Change Over YCL- 8-(E+M) 13~17 Aug, 2011_Style Change Over YC-6 E 23~227 Mar, 2013" xfId="3483" xr:uid="{00000000-0005-0000-0000-00009A0D0000}"/>
    <cellStyle name="_YO DLPB Format-Sewing-E_4.Style Change Over YCL- 8-(E+M) 13~17 Aug, 2011_Style Change Over YC-7H  16~21 Aprl, 2013" xfId="3484" xr:uid="{00000000-0005-0000-0000-00009B0D0000}"/>
    <cellStyle name="_YO DLPB Format-Sewing-E_4.Style Change Over YCL- 8-(E+M) 13~17 Aug, 2011_Style Changeover Data Information-" xfId="3485" xr:uid="{00000000-0005-0000-0000-00009C0D0000}"/>
    <cellStyle name="_YO DLPB Format-Sewing-E_4.Style Change Over YCL- 8-(E+M) 13~17 Aug, 2011_Xl0000034" xfId="3486" xr:uid="{00000000-0005-0000-0000-00009D0D0000}"/>
    <cellStyle name="_YO DLPB Format-Sewing-E_After 5's" xfId="3487" xr:uid="{00000000-0005-0000-0000-00009E0D0000}"/>
    <cellStyle name="_YO DLPB Format-Sewing-E_Base Line Data YC-8(C)" xfId="3488" xr:uid="{00000000-0005-0000-0000-00009F0D0000}"/>
    <cellStyle name="_YO DLPB Format-Sewing-E_Base line Data-YC-15(G)" xfId="3489" xr:uid="{00000000-0005-0000-0000-0000A00D0000}"/>
    <cellStyle name="_YO DLPB Format-Sewing-E_Before 5's YC-8(C)" xfId="3490" xr:uid="{00000000-0005-0000-0000-0000A10D0000}"/>
    <cellStyle name="_YO DLPB Format-Sewing-E_Book1" xfId="3491" xr:uid="{00000000-0005-0000-0000-0000A20D0000}"/>
    <cellStyle name="_YO DLPB Format-Sewing-E_Copy of SK Raw data of SKB in Yc-6-(C) 26~31Jan '20131" xfId="3492" xr:uid="{00000000-0005-0000-0000-0000A30D0000}"/>
    <cellStyle name="_YO DLPB Format-Sewing-E_Flow Chart BM Groucho Jkt-YCL-8E" xfId="3493" xr:uid="{00000000-0005-0000-0000-0000A40D0000}"/>
    <cellStyle name="_YO DLPB Format-Sewing-E_Flow Chart YC-8(C) Before1" xfId="3494" xr:uid="{00000000-0005-0000-0000-0000A50D0000}"/>
    <cellStyle name="_YO DLPB Format-Sewing-E_Flow Chart YCL - 8-(E+M)1" xfId="3495" xr:uid="{00000000-0005-0000-0000-0000A60D0000}"/>
    <cellStyle name="_YO DLPB Format-Sewing-E_Flow-Ycl-8-E+Mod" xfId="3496" xr:uid="{00000000-0005-0000-0000-0000A70D0000}"/>
    <cellStyle name="_YO DLPB Format-Sewing-E_Graph-6B3" xfId="3497" xr:uid="{00000000-0005-0000-0000-0000A80D0000}"/>
    <cellStyle name="_YO DLPB Format-Sewing-E_Graph-6B4" xfId="3498" xr:uid="{00000000-0005-0000-0000-0000A90D0000}"/>
    <cellStyle name="_YO DLPB Format-Sewing-E_Graph-6B5" xfId="3499" xr:uid="{00000000-0005-0000-0000-0000AA0D0000}"/>
    <cellStyle name="_YO DLPB Format-Sewing-E_Graph-8I" xfId="3500" xr:uid="{00000000-0005-0000-0000-0000AB0D0000}"/>
    <cellStyle name="_YO DLPB Format-Sewing-E_Ksl-05H Line Style Changeover Dt#20~26 Nov'  2012" xfId="3501" xr:uid="{00000000-0005-0000-0000-0000AC0D0000}"/>
    <cellStyle name="_YO DLPB Format-Sewing-E_Ksl-05H Line Style Changeover Dt#20~26 Nov'  2012_Participant List &amp; data for SKB  Sector-7 Ksl_4 Mini-3 Duration_06~10July 2013" xfId="3502" xr:uid="{00000000-0005-0000-0000-0000AD0D0000}"/>
    <cellStyle name="_YO DLPB Format-Sewing-E_Ksl-05H Line Style Changeover Dt#20~26 Nov'  2012_Participant List &amp; data for SKB  Sector-7 Ksl_6-F Duration_ 22~27 'June,2013" xfId="3503" xr:uid="{00000000-0005-0000-0000-0000AE0D0000}"/>
    <cellStyle name="_YO DLPB Format-Sewing-E_Ksl-6 Mini 1style Changeover Dt# 15th ~21th April' 20131" xfId="3504" xr:uid="{00000000-0005-0000-0000-0000AF0D0000}"/>
    <cellStyle name="_YO DLPB Format-Sewing-E_Ksl-6 Mini 1style Changeover Dt# 15th ~21th April' 20131_Participant List &amp; data for SKB  Sector-7 Ksl_4 Mini-3 Duration_06~10July 2013" xfId="3505" xr:uid="{00000000-0005-0000-0000-0000B00D0000}"/>
    <cellStyle name="_YO DLPB Format-Sewing-E_MFC BEFORE" xfId="3506" xr:uid="{00000000-0005-0000-0000-0000B10D0000}"/>
    <cellStyle name="_YO DLPB Format-Sewing-E_MFC(Yc 10C)" xfId="3507" xr:uid="{00000000-0005-0000-0000-0000B20D0000}"/>
    <cellStyle name="_YO DLPB Format-Sewing-E_OCT Graph A1" xfId="3508" xr:uid="{00000000-0005-0000-0000-0000B30D0000}"/>
    <cellStyle name="_YO DLPB Format-Sewing-E_OCT-J" xfId="3509" xr:uid="{00000000-0005-0000-0000-0000B40D0000}"/>
    <cellStyle name="_YO DLPB Format-Sewing-E_OCT-J_After 5's" xfId="3510" xr:uid="{00000000-0005-0000-0000-0000B50D0000}"/>
    <cellStyle name="_YO DLPB Format-Sewing-E_OCT-J_Base Line Data YC-8(C)" xfId="3511" xr:uid="{00000000-0005-0000-0000-0000B60D0000}"/>
    <cellStyle name="_YO DLPB Format-Sewing-E_OCT-J_Base line Data-YC-15(G)" xfId="3512" xr:uid="{00000000-0005-0000-0000-0000B70D0000}"/>
    <cellStyle name="_YO DLPB Format-Sewing-E_OCT-J_Book1" xfId="3513" xr:uid="{00000000-0005-0000-0000-0000B80D0000}"/>
    <cellStyle name="_YO DLPB Format-Sewing-E_OCT-J_Copy of SK Raw data of SKB in Yc-6-(C) 26~31Jan '20131" xfId="3514" xr:uid="{00000000-0005-0000-0000-0000B90D0000}"/>
    <cellStyle name="_YO DLPB Format-Sewing-E_OCT-J_Critical poin" xfId="3515" xr:uid="{00000000-0005-0000-0000-0000BA0D0000}"/>
    <cellStyle name="_YO DLPB Format-Sewing-E_OCT-J_Critical poin1" xfId="3516" xr:uid="{00000000-0005-0000-0000-0000BB0D0000}"/>
    <cellStyle name="_YO DLPB Format-Sewing-E_OCT-J_Flow Chart YC-8(C) Before1" xfId="3517" xr:uid="{00000000-0005-0000-0000-0000BC0D0000}"/>
    <cellStyle name="_YO DLPB Format-Sewing-E_OCT-J_OCT Graph A1" xfId="3518" xr:uid="{00000000-0005-0000-0000-0000BD0D0000}"/>
    <cellStyle name="_YO DLPB Format-Sewing-E_OCT-J_peroto Chart YC-8" xfId="3519" xr:uid="{00000000-0005-0000-0000-0000BE0D0000}"/>
    <cellStyle name="_YO DLPB Format-Sewing-E_OCT-J_SK Raw data of SKB in Yc-8-(J) 01~05 Dec'2012" xfId="3520" xr:uid="{00000000-0005-0000-0000-0000BF0D0000}"/>
    <cellStyle name="_YO DLPB Format-Sewing-E_OCT-J_SK Raw data of SKB in Yc-8-(J) 01~05 Dec'2012_Base line Data-YC-15(G)" xfId="3521" xr:uid="{00000000-0005-0000-0000-0000C00D0000}"/>
    <cellStyle name="_YO DLPB Format-Sewing-E_OCT-J_SK Raw data of SKB in Yc-8-(J) 01~05 Dec'2012_Book1" xfId="3522" xr:uid="{00000000-0005-0000-0000-0000C10D0000}"/>
    <cellStyle name="_YO DLPB Format-Sewing-E_OCT-J_SK Raw data of SKB in Yc-8-(J) 01~05 Dec'2012_Style Changeover Data Information-" xfId="3523" xr:uid="{00000000-0005-0000-0000-0000C20D0000}"/>
    <cellStyle name="_YO DLPB Format-Sewing-E_OCT-J_SK Raw data of SKB in Yc-8-(J) 01~05 Dec'2012_Style Changeover Data Information-YCL13C" xfId="3524" xr:uid="{00000000-0005-0000-0000-0000C30D0000}"/>
    <cellStyle name="_YO DLPB Format-Sewing-E_OCT-J_SKB RAW DATA" xfId="3525" xr:uid="{00000000-0005-0000-0000-0000C40D0000}"/>
    <cellStyle name="_YO DLPB Format-Sewing-E_OCT-J_SKB YC-8(J)" xfId="3526" xr:uid="{00000000-0005-0000-0000-0000C50D0000}"/>
    <cellStyle name="_YO DLPB Format-Sewing-E_OCT-J_SKB(Sewing Kaizen - YCL 14 (A)" xfId="3527" xr:uid="{00000000-0005-0000-0000-0000C60D0000}"/>
    <cellStyle name="_YO DLPB Format-Sewing-E_OCT-J_SQDC Board format (revised)-2013" xfId="3528" xr:uid="{00000000-0005-0000-0000-0000C70D0000}"/>
    <cellStyle name="_YO DLPB Format-Sewing-E_OCT-J_Style Change Over YC-7H  16~21 Aprl, 2013" xfId="3529" xr:uid="{00000000-0005-0000-0000-0000C80D0000}"/>
    <cellStyle name="_YO DLPB Format-Sewing-E_OCT-J_Style Change Over YC-7H  16~21 Aprl, 2013_Base line Data-YC-15(G)" xfId="3530" xr:uid="{00000000-0005-0000-0000-0000C90D0000}"/>
    <cellStyle name="_YO DLPB Format-Sewing-E_OCT-J_Style Change Over YC-7H  16~21 Aprl, 2013_Book1" xfId="3531" xr:uid="{00000000-0005-0000-0000-0000CA0D0000}"/>
    <cellStyle name="_YO DLPB Format-Sewing-E_OCT-J_Style Change Over YC-7H  16~21 Aprl, 2013_Style Changeover Data Information-" xfId="3532" xr:uid="{00000000-0005-0000-0000-0000CB0D0000}"/>
    <cellStyle name="_YO DLPB Format-Sewing-E_OCT-J_Style Change Over YC-7H  16~21 Aprl, 2013_Style Changeover Data Information-YCL13C" xfId="3533" xr:uid="{00000000-0005-0000-0000-0000CC0D0000}"/>
    <cellStyle name="_YO DLPB Format-Sewing-E_OCT-J_Style Change Over YC-9 (I)  28~02 May, 2013" xfId="3534" xr:uid="{00000000-0005-0000-0000-0000CD0D0000}"/>
    <cellStyle name="_YO DLPB Format-Sewing-E_OCT-J_Style Change Over YC-9 (I)  28~02 May, 2013_Base line Data-YC-15(G)" xfId="3535" xr:uid="{00000000-0005-0000-0000-0000CE0D0000}"/>
    <cellStyle name="_YO DLPB Format-Sewing-E_OCT-J_Style Change Over YC-9 (I)  28~02 May, 2013_Book1" xfId="3536" xr:uid="{00000000-0005-0000-0000-0000CF0D0000}"/>
    <cellStyle name="_YO DLPB Format-Sewing-E_OCT-J_Style Change Over YC-9 (I)  28~02 May, 2013_Style Changeover Data Information-" xfId="3537" xr:uid="{00000000-0005-0000-0000-0000D00D0000}"/>
    <cellStyle name="_YO DLPB Format-Sewing-E_OCT-J_Style Change Over YC-9 (I)  28~02 May, 2013_Style Changeover Data Information-YCL13C" xfId="3538" xr:uid="{00000000-0005-0000-0000-0000D10D0000}"/>
    <cellStyle name="_YO DLPB Format-Sewing-E_OCT-J_Style Changeover Data Information-" xfId="3539" xr:uid="{00000000-0005-0000-0000-0000D20D0000}"/>
    <cellStyle name="_YO DLPB Format-Sewing-E_OCT-J_Xl0000034" xfId="3540" xr:uid="{00000000-0005-0000-0000-0000D30D0000}"/>
    <cellStyle name="_YO DLPB Format-Sewing-E_Opt training" xfId="3541" xr:uid="{00000000-0005-0000-0000-0000D40D0000}"/>
    <cellStyle name="_YO DLPB Format-Sewing-E_Participant List &amp; data for SKB  Sector-7 Ksl_6 D Duration_ 02 ~06 Feb,20131" xfId="3542" xr:uid="{00000000-0005-0000-0000-0000D50D0000}"/>
    <cellStyle name="_YO DLPB Format-Sewing-E_Participant List &amp; data for SKB  Sector-7 Ksl_6 E Duration_ 21 ~25 April,2013" xfId="3543" xr:uid="{00000000-0005-0000-0000-0000D60D0000}"/>
    <cellStyle name="_YO DLPB Format-Sewing-E_Participant List &amp; data for SKB  Sector-7 Ksl_6 Mini-1 Duration_23 ~27 Feb,20131" xfId="3544" xr:uid="{00000000-0005-0000-0000-0000D70D0000}"/>
    <cellStyle name="_YO DLPB Format-Sewing-E_Participant List &amp; data for SKB  Sector-7 Ksl_6 Mini-1 Duration_29th April ~05th MAY,20131" xfId="3545" xr:uid="{00000000-0005-0000-0000-0000D80D0000}"/>
    <cellStyle name="_YO DLPB Format-Sewing-E_Participant List &amp; data for SKB  Sector-7 Ksl_6 Mini-4 Duration_2 ~06th March,2013" xfId="3546" xr:uid="{00000000-0005-0000-0000-0000D90D0000}"/>
    <cellStyle name="_YO DLPB Format-Sewing-E_Participants list &amp; data for (Ksl_6Mini 1) 15th ~ 22th April '2013" xfId="3547" xr:uid="{00000000-0005-0000-0000-0000DA0D0000}"/>
    <cellStyle name="_YO DLPB Format-Sewing-E_Participants list &amp; data for SKB- (Ksl_5_G. Sector 7) 16~20 June'2012" xfId="3548" xr:uid="{00000000-0005-0000-0000-0000DB0D0000}"/>
    <cellStyle name="_YO DLPB Format-Sewing-E_Participants list &amp; data for SKB- (Ksl_6_A+B1 Line Sector 7)  Jan12 ~16,2013" xfId="3549" xr:uid="{00000000-0005-0000-0000-0000DC0D0000}"/>
    <cellStyle name="_YO DLPB Format-Sewing-E_Participants list &amp; data for SKB- (Ksl_6_A+B1 Line Sector 7)  Jan12 ~16,2013_Participant List &amp; data for SKB  Sector-7 Ksl_4 Mini-3 Duration_06~10July 2013" xfId="3550" xr:uid="{00000000-0005-0000-0000-0000DD0D0000}"/>
    <cellStyle name="_YO DLPB Format-Sewing-E_Participants list &amp; data for SKB- (Ksl_6_A+B1 Line Sector 7)  Jan12 ~16,2013_Participant List &amp; data for SKB  Sector-7 Ksl_6-F Duration_ 22~27 'June,2013" xfId="3551" xr:uid="{00000000-0005-0000-0000-0000DE0D0000}"/>
    <cellStyle name="_YO DLPB Format-Sewing-E_participants list &amp; data for SKB- (Ksl_6_A+B1 Line Sector 7)  Jan12 ~16,20131" xfId="3552" xr:uid="{00000000-0005-0000-0000-0000DF0D0000}"/>
    <cellStyle name="_YO DLPB Format-Sewing-E_participants list &amp; data for SKB- (Ksl_6_A+B1 Line Sector 7)  Jan12 ~16,20131_Participant List &amp; data for SKB  Sector-7 Ksl_4 Mini-3 Duration_06~10July 2013" xfId="3553" xr:uid="{00000000-0005-0000-0000-0000E00D0000}"/>
    <cellStyle name="_YO DLPB Format-Sewing-E_participants list &amp; data for SKB- (Ksl_6_A+B1 Line Sector 7)  Jan12 ~16,20131_Participant List &amp; data for SKB  Sector-7 Ksl_6-F Duration_ 22~27 'June,2013" xfId="3554" xr:uid="{00000000-0005-0000-0000-0000E10D0000}"/>
    <cellStyle name="_YO DLPB Format-Sewing-E_participants list &amp; data for SKB- (Ksl_6_D Line Sector 7)  Fab 02~06,2013" xfId="3555" xr:uid="{00000000-0005-0000-0000-0000E20D0000}"/>
    <cellStyle name="_YO DLPB Format-Sewing-E_participants list &amp; data for SKB- (Ksl_6_D Line Sector 7)  Fab 02~06,2013_Participant List &amp; data for SKB  Sector-7 Ksl_4 Mini-3 Duration_06~10July 2013" xfId="3556" xr:uid="{00000000-0005-0000-0000-0000E30D0000}"/>
    <cellStyle name="_YO DLPB Format-Sewing-E_peroto Chart YC-8" xfId="3557" xr:uid="{00000000-0005-0000-0000-0000E40D0000}"/>
    <cellStyle name="_YO DLPB Format-Sewing-E_Raw data of Style Change Over YCL - 8-(E+M) 17-24 July'2011" xfId="3558" xr:uid="{00000000-0005-0000-0000-0000E50D0000}"/>
    <cellStyle name="_YO DLPB Format-Sewing-E_Raw Data of Style Change Over YCL - 8(J) 30-1 to 03-2  Cerrent" xfId="3559" xr:uid="{00000000-0005-0000-0000-0000E60D0000}"/>
    <cellStyle name="_YO DLPB Format-Sewing-E_Raw Data of Style Change Over YCL - 8(J) 30-1 to 03-2  Cerrent_After 5's" xfId="3560" xr:uid="{00000000-0005-0000-0000-0000E70D0000}"/>
    <cellStyle name="_YO DLPB Format-Sewing-E_Raw Data of Style Change Over YCL - 8(J) 30-1 to 03-2  Cerrent_Base Line Data YC-8(C)" xfId="3561" xr:uid="{00000000-0005-0000-0000-0000E80D0000}"/>
    <cellStyle name="_YO DLPB Format-Sewing-E_Raw Data of Style Change Over YCL - 8(J) 30-1 to 03-2  Cerrent_Base line Data-YC-15(G)" xfId="3562" xr:uid="{00000000-0005-0000-0000-0000E90D0000}"/>
    <cellStyle name="_YO DLPB Format-Sewing-E_Raw Data of Style Change Over YCL - 8(J) 30-1 to 03-2  Cerrent_Book1" xfId="3563" xr:uid="{00000000-0005-0000-0000-0000EA0D0000}"/>
    <cellStyle name="_YO DLPB Format-Sewing-E_Raw Data of Style Change Over YCL - 8(J) 30-1 to 03-2  Cerrent_Copy of SK Raw data of SKB in Yc-6-(C) 26~31Jan '20131" xfId="3564" xr:uid="{00000000-0005-0000-0000-0000EB0D0000}"/>
    <cellStyle name="_YO DLPB Format-Sewing-E_Raw Data of Style Change Over YCL - 8(J) 30-1 to 03-2  Cerrent_Flow Chart YC-8(C) Before1" xfId="3565" xr:uid="{00000000-0005-0000-0000-0000EC0D0000}"/>
    <cellStyle name="_YO DLPB Format-Sewing-E_Raw Data of Style Change Over YCL - 8(J) 30-1 to 03-2  Cerrent_MFC(Yc 10C)" xfId="3566" xr:uid="{00000000-0005-0000-0000-0000ED0D0000}"/>
    <cellStyle name="_YO DLPB Format-Sewing-E_Raw Data of Style Change Over YCL - 8(J) 30-1 to 03-2  Cerrent_OCT Graph A1" xfId="3567" xr:uid="{00000000-0005-0000-0000-0000EE0D0000}"/>
    <cellStyle name="_YO DLPB Format-Sewing-E_Raw Data of Style Change Over YCL - 8(J) 30-1 to 03-2  Cerrent_peroto Chart YC-8" xfId="3568" xr:uid="{00000000-0005-0000-0000-0000EF0D0000}"/>
    <cellStyle name="_YO DLPB Format-Sewing-E_Raw Data of Style Change Over YCL - 8(J) 30-1 to 03-2  Cerrent_SK Raw data of SKB in Yc-8-(J) 01~05 Dec'2012" xfId="3569" xr:uid="{00000000-0005-0000-0000-0000F00D0000}"/>
    <cellStyle name="_YO DLPB Format-Sewing-E_Raw Data of Style Change Over YCL - 8(J) 30-1 to 03-2  Cerrent_SK Raw data of SKB in Yc-8-(J) 01~05 Dec'2012_Base line Data-YC-15(G)" xfId="3570" xr:uid="{00000000-0005-0000-0000-0000F10D0000}"/>
    <cellStyle name="_YO DLPB Format-Sewing-E_Raw Data of Style Change Over YCL - 8(J) 30-1 to 03-2  Cerrent_SK Raw data of SKB in Yc-8-(J) 01~05 Dec'2012_Book1" xfId="3571" xr:uid="{00000000-0005-0000-0000-0000F20D0000}"/>
    <cellStyle name="_YO DLPB Format-Sewing-E_Raw Data of Style Change Over YCL - 8(J) 30-1 to 03-2  Cerrent_SK Raw data of SKB in Yc-8-(J) 01~05 Dec'2012_Style Changeover Data Information-" xfId="3572" xr:uid="{00000000-0005-0000-0000-0000F30D0000}"/>
    <cellStyle name="_YO DLPB Format-Sewing-E_Raw Data of Style Change Over YCL - 8(J) 30-1 to 03-2  Cerrent_SK Raw data of SKB in Yc-8-(J) 01~05 Dec'2012_Style Changeover Data Information-YCL13C" xfId="3573" xr:uid="{00000000-0005-0000-0000-0000F40D0000}"/>
    <cellStyle name="_YO DLPB Format-Sewing-E_Raw Data of Style Change Over YCL - 8(J) 30-1 to 03-2  Cerrent_SKB RAW DATA" xfId="3574" xr:uid="{00000000-0005-0000-0000-0000F50D0000}"/>
    <cellStyle name="_YO DLPB Format-Sewing-E_Raw Data of Style Change Over YCL - 8(J) 30-1 to 03-2  Cerrent_SKB YC-8(J)" xfId="3575" xr:uid="{00000000-0005-0000-0000-0000F60D0000}"/>
    <cellStyle name="_YO DLPB Format-Sewing-E_Raw Data of Style Change Over YCL - 8(J) 30-1 to 03-2  Cerrent_SKB(Sewing Kaizen - YCL 14 (A)" xfId="3576" xr:uid="{00000000-0005-0000-0000-0000F70D0000}"/>
    <cellStyle name="_YO DLPB Format-Sewing-E_Raw Data of Style Change Over YCL - 8(J) 30-1 to 03-2  Cerrent_SQDC Board format (revised)-2013" xfId="3577" xr:uid="{00000000-0005-0000-0000-0000F80D0000}"/>
    <cellStyle name="_YO DLPB Format-Sewing-E_Raw Data of Style Change Over YCL - 8(J) 30-1 to 03-2  Cerrent_Style Change Over YC-6 E 23~227 Mar, 2013" xfId="3578" xr:uid="{00000000-0005-0000-0000-0000F90D0000}"/>
    <cellStyle name="_YO DLPB Format-Sewing-E_Raw Data of Style Change Over YCL - 8(J) 30-1 to 03-2  Cerrent_Style Change Over YC-7H  16~21 Aprl, 2013" xfId="3579" xr:uid="{00000000-0005-0000-0000-0000FA0D0000}"/>
    <cellStyle name="_YO DLPB Format-Sewing-E_Raw Data of Style Change Over YCL - 8(J) 30-1 to 03-2  Cerrent_Style Changeover Data Information-" xfId="3580" xr:uid="{00000000-0005-0000-0000-0000FB0D0000}"/>
    <cellStyle name="_YO DLPB Format-Sewing-E_Raw Data of Style Change Over YCL - 8(J) 30-1 to 03-2  Cerrent_Xl0000034" xfId="3581" xr:uid="{00000000-0005-0000-0000-0000FC0D0000}"/>
    <cellStyle name="_YO DLPB Format-Sewing-E_Raw data Ycl-8-F 1~4 Apr,2012" xfId="3582" xr:uid="{00000000-0005-0000-0000-0000FD0D0000}"/>
    <cellStyle name="_YO DLPB Format-Sewing-E_SK Raw data of SKB in Yc-8-(J) 01~05 Dec'2012" xfId="3583" xr:uid="{00000000-0005-0000-0000-0000FE0D0000}"/>
    <cellStyle name="_YO DLPB Format-Sewing-E_SK Raw data of SKB in Yc-8-(J) 01~05 Dec'2012_Base line Data-YC-15(G)" xfId="3584" xr:uid="{00000000-0005-0000-0000-0000FF0D0000}"/>
    <cellStyle name="_YO DLPB Format-Sewing-E_SK Raw data of SKB in Yc-8-(J) 01~05 Dec'2012_Book1" xfId="3585" xr:uid="{00000000-0005-0000-0000-0000000E0000}"/>
    <cellStyle name="_YO DLPB Format-Sewing-E_SK Raw data of SKB in Yc-8-(J) 01~05 Dec'2012_Style Changeover Data Information-" xfId="3586" xr:uid="{00000000-0005-0000-0000-0000010E0000}"/>
    <cellStyle name="_YO DLPB Format-Sewing-E_SK Raw data of SKB in Yc-8-(J) 01~05 Dec'2012_Style Changeover Data Information-YCL13C" xfId="3587" xr:uid="{00000000-0005-0000-0000-0000020E0000}"/>
    <cellStyle name="_YO DLPB Format-Sewing-E_SK Raw data of SKB in Yc-8-I+G2 28Apr~3May'2012" xfId="3588" xr:uid="{00000000-0005-0000-0000-0000030E0000}"/>
    <cellStyle name="_YO DLPB Format-Sewing-E_SKB- (Ksl_6_E  Graph &amp; Flow Chart" xfId="3589" xr:uid="{00000000-0005-0000-0000-0000040E0000}"/>
    <cellStyle name="_YO DLPB Format-Sewing-E_SKB- (Ksl_6_Mini-1Duration _12~16 May,2013)" xfId="3590" xr:uid="{00000000-0005-0000-0000-0000050E0000}"/>
    <cellStyle name="_YO DLPB Format-Sewing-E_SKB YC-8(J)" xfId="3591" xr:uid="{00000000-0005-0000-0000-0000060E0000}"/>
    <cellStyle name="_YO DLPB Format-Sewing-E_SKB(Sewing Kaizen - YCL 14 (A)" xfId="3592" xr:uid="{00000000-0005-0000-0000-0000070E0000}"/>
    <cellStyle name="_YO DLPB Format-Sewing-E_SQDC Board format (revised)-2013" xfId="3593" xr:uid="{00000000-0005-0000-0000-0000080E0000}"/>
    <cellStyle name="_YO DLPB Format-Sewing-E_Style Change Over YC-6 E 23~227 Mar, 2013" xfId="3594" xr:uid="{00000000-0005-0000-0000-0000090E0000}"/>
    <cellStyle name="_YO DLPB Format-Sewing-E_Style Change Over YC-7H  16~21 Aprl, 2013" xfId="3595" xr:uid="{00000000-0005-0000-0000-00000A0E0000}"/>
    <cellStyle name="_YO DLPB Format-Sewing-E_Style Change Over YC-8J 11~16 Feb 2012" xfId="3596" xr:uid="{00000000-0005-0000-0000-00000B0E0000}"/>
    <cellStyle name="_YO DLPB Format-Sewing-E_Style Change Over YC-8J 24~28 Nov, 2012" xfId="3597" xr:uid="{00000000-0005-0000-0000-00000C0E0000}"/>
    <cellStyle name="_YO DLPB Format-Sewing-E_Style Change Over YCL- 8-(I+G1) 25~26 Jan 2012" xfId="3598" xr:uid="{00000000-0005-0000-0000-00000D0E0000}"/>
    <cellStyle name="_YO DLPB Format-Sewing-E_Style Change Over YCL- 8-(J) 11-14 February 2012" xfId="3599" xr:uid="{00000000-0005-0000-0000-00000E0E0000}"/>
    <cellStyle name="_YO DLPB Format-Sewing-E_Style Change Over YCL- 8-(J) 11-14 February 2012_After 5's" xfId="3600" xr:uid="{00000000-0005-0000-0000-00000F0E0000}"/>
    <cellStyle name="_YO DLPB Format-Sewing-E_Style Change Over YCL- 8-(J) 11-14 February 2012_Base Line Data YC-8(C)" xfId="3601" xr:uid="{00000000-0005-0000-0000-0000100E0000}"/>
    <cellStyle name="_YO DLPB Format-Sewing-E_Style Change Over YCL- 8-(J) 11-14 February 2012_Base line Data-YC-15(G)" xfId="3602" xr:uid="{00000000-0005-0000-0000-0000110E0000}"/>
    <cellStyle name="_YO DLPB Format-Sewing-E_Style Change Over YCL- 8-(J) 11-14 February 2012_Book1" xfId="3603" xr:uid="{00000000-0005-0000-0000-0000120E0000}"/>
    <cellStyle name="_YO DLPB Format-Sewing-E_Style Change Over YCL- 8-(J) 11-14 February 2012_Copy of SK Raw data of SKB in Yc-6-(C) 26~31Jan '20131" xfId="3604" xr:uid="{00000000-0005-0000-0000-0000130E0000}"/>
    <cellStyle name="_YO DLPB Format-Sewing-E_Style Change Over YCL- 8-(J) 11-14 February 2012_Critical poin" xfId="3605" xr:uid="{00000000-0005-0000-0000-0000140E0000}"/>
    <cellStyle name="_YO DLPB Format-Sewing-E_Style Change Over YCL- 8-(J) 11-14 February 2012_Critical poin1" xfId="3606" xr:uid="{00000000-0005-0000-0000-0000150E0000}"/>
    <cellStyle name="_YO DLPB Format-Sewing-E_Style Change Over YCL- 8-(J) 11-14 February 2012_Flow Chart YC-8(C) Before1" xfId="3607" xr:uid="{00000000-0005-0000-0000-0000160E0000}"/>
    <cellStyle name="_YO DLPB Format-Sewing-E_Style Change Over YCL- 8-(J) 11-14 February 2012_OCT Graph A1" xfId="3608" xr:uid="{00000000-0005-0000-0000-0000170E0000}"/>
    <cellStyle name="_YO DLPB Format-Sewing-E_Style Change Over YCL- 8-(J) 11-14 February 2012_peroto Chart YC-8" xfId="3609" xr:uid="{00000000-0005-0000-0000-0000180E0000}"/>
    <cellStyle name="_YO DLPB Format-Sewing-E_Style Change Over YCL- 8-(J) 11-14 February 2012_SK Raw data of SKB in Yc-8-(J) 01~05 Dec'2012" xfId="3610" xr:uid="{00000000-0005-0000-0000-0000190E0000}"/>
    <cellStyle name="_YO DLPB Format-Sewing-E_Style Change Over YCL- 8-(J) 11-14 February 2012_SK Raw data of SKB in Yc-8-(J) 01~05 Dec'2012_Base line Data-YC-15(G)" xfId="3611" xr:uid="{00000000-0005-0000-0000-00001A0E0000}"/>
    <cellStyle name="_YO DLPB Format-Sewing-E_Style Change Over YCL- 8-(J) 11-14 February 2012_SK Raw data of SKB in Yc-8-(J) 01~05 Dec'2012_Book1" xfId="3612" xr:uid="{00000000-0005-0000-0000-00001B0E0000}"/>
    <cellStyle name="_YO DLPB Format-Sewing-E_Style Change Over YCL- 8-(J) 11-14 February 2012_SK Raw data of SKB in Yc-8-(J) 01~05 Dec'2012_Style Changeover Data Information-" xfId="3613" xr:uid="{00000000-0005-0000-0000-00001C0E0000}"/>
    <cellStyle name="_YO DLPB Format-Sewing-E_Style Change Over YCL- 8-(J) 11-14 February 2012_SK Raw data of SKB in Yc-8-(J) 01~05 Dec'2012_Style Changeover Data Information-YCL13C" xfId="3614" xr:uid="{00000000-0005-0000-0000-00001D0E0000}"/>
    <cellStyle name="_YO DLPB Format-Sewing-E_Style Change Over YCL- 8-(J) 11-14 February 2012_SKB RAW DATA" xfId="3615" xr:uid="{00000000-0005-0000-0000-00001E0E0000}"/>
    <cellStyle name="_YO DLPB Format-Sewing-E_Style Change Over YCL- 8-(J) 11-14 February 2012_SKB YC-8(J)" xfId="3616" xr:uid="{00000000-0005-0000-0000-00001F0E0000}"/>
    <cellStyle name="_YO DLPB Format-Sewing-E_Style Change Over YCL- 8-(J) 11-14 February 2012_SKB(Sewing Kaizen - YCL 14 (A)" xfId="3617" xr:uid="{00000000-0005-0000-0000-0000200E0000}"/>
    <cellStyle name="_YO DLPB Format-Sewing-E_Style Change Over YCL- 8-(J) 11-14 February 2012_SQDC Board format (revised)-2013" xfId="3618" xr:uid="{00000000-0005-0000-0000-0000210E0000}"/>
    <cellStyle name="_YO DLPB Format-Sewing-E_Style Change Over YCL- 8-(J) 11-14 February 2012_Style Change Over YC-7H  16~21 Aprl, 2013" xfId="3619" xr:uid="{00000000-0005-0000-0000-0000220E0000}"/>
    <cellStyle name="_YO DLPB Format-Sewing-E_Style Change Over YCL- 8-(J) 11-14 February 2012_Style Change Over YC-7H  16~21 Aprl, 2013_Base line Data-YC-15(G)" xfId="3620" xr:uid="{00000000-0005-0000-0000-0000230E0000}"/>
    <cellStyle name="_YO DLPB Format-Sewing-E_Style Change Over YCL- 8-(J) 11-14 February 2012_Style Change Over YC-7H  16~21 Aprl, 2013_Book1" xfId="3621" xr:uid="{00000000-0005-0000-0000-0000240E0000}"/>
    <cellStyle name="_YO DLPB Format-Sewing-E_Style Change Over YCL- 8-(J) 11-14 February 2012_Style Change Over YC-7H  16~21 Aprl, 2013_Style Changeover Data Information-" xfId="3622" xr:uid="{00000000-0005-0000-0000-0000250E0000}"/>
    <cellStyle name="_YO DLPB Format-Sewing-E_Style Change Over YCL- 8-(J) 11-14 February 2012_Style Change Over YC-7H  16~21 Aprl, 2013_Style Changeover Data Information-YCL13C" xfId="3623" xr:uid="{00000000-0005-0000-0000-0000260E0000}"/>
    <cellStyle name="_YO DLPB Format-Sewing-E_Style Change Over YCL- 8-(J) 11-14 February 2012_Style Change Over YC-9 (I)  28~02 May, 2013" xfId="3624" xr:uid="{00000000-0005-0000-0000-0000270E0000}"/>
    <cellStyle name="_YO DLPB Format-Sewing-E_Style Change Over YCL- 8-(J) 11-14 February 2012_Style Change Over YC-9 (I)  28~02 May, 2013_Base line Data-YC-15(G)" xfId="3625" xr:uid="{00000000-0005-0000-0000-0000280E0000}"/>
    <cellStyle name="_YO DLPB Format-Sewing-E_Style Change Over YCL- 8-(J) 11-14 February 2012_Style Change Over YC-9 (I)  28~02 May, 2013_Book1" xfId="3626" xr:uid="{00000000-0005-0000-0000-0000290E0000}"/>
    <cellStyle name="_YO DLPB Format-Sewing-E_Style Change Over YCL- 8-(J) 11-14 February 2012_Style Change Over YC-9 (I)  28~02 May, 2013_Style Changeover Data Information-" xfId="3627" xr:uid="{00000000-0005-0000-0000-00002A0E0000}"/>
    <cellStyle name="_YO DLPB Format-Sewing-E_Style Change Over YCL- 8-(J) 11-14 February 2012_Style Change Over YC-9 (I)  28~02 May, 2013_Style Changeover Data Information-YCL13C" xfId="3628" xr:uid="{00000000-0005-0000-0000-00002B0E0000}"/>
    <cellStyle name="_YO DLPB Format-Sewing-E_Style Change Over YCL- 8-(J) 11-14 February 2012_Style Changeover Data Information-" xfId="3629" xr:uid="{00000000-0005-0000-0000-00002C0E0000}"/>
    <cellStyle name="_YO DLPB Format-Sewing-E_Style Change Over YCL- 8-(J) 11-14 February 2012_Xl0000034" xfId="3630" xr:uid="{00000000-0005-0000-0000-00002D0E0000}"/>
    <cellStyle name="_YO DLPB Format-Sewing-E_Style Changeover Data Information-" xfId="3631" xr:uid="{00000000-0005-0000-0000-00002E0E0000}"/>
    <cellStyle name="_YO DLPB Format-Sewing-E_Xl0000034" xfId="3632" xr:uid="{00000000-0005-0000-0000-00002F0E0000}"/>
    <cellStyle name="_YO DLPB Format-Sewing-E_YC_8 F Raw data" xfId="3633" xr:uid="{00000000-0005-0000-0000-0000300E0000}"/>
    <cellStyle name="_YO DLPB Format-Sewing-E_YC_8 F Raw data_After 5's" xfId="3634" xr:uid="{00000000-0005-0000-0000-0000310E0000}"/>
    <cellStyle name="_YO DLPB Format-Sewing-E_YC_8 F Raw data_Base Line Data YC-8(C)" xfId="3635" xr:uid="{00000000-0005-0000-0000-0000320E0000}"/>
    <cellStyle name="_YO DLPB Format-Sewing-E_YC_8 F Raw data_Base line Data-YC-15(G)" xfId="3636" xr:uid="{00000000-0005-0000-0000-0000330E0000}"/>
    <cellStyle name="_YO DLPB Format-Sewing-E_YC_8 F Raw data_Book1" xfId="3637" xr:uid="{00000000-0005-0000-0000-0000340E0000}"/>
    <cellStyle name="_YO DLPB Format-Sewing-E_YC_8 F Raw data_Copy of SK Raw data of SKB in Yc-6-(C) 26~31Jan '20131" xfId="3638" xr:uid="{00000000-0005-0000-0000-0000350E0000}"/>
    <cellStyle name="_YO DLPB Format-Sewing-E_YC_8 F Raw data_Flow Chart YC-8(C) Before1" xfId="3639" xr:uid="{00000000-0005-0000-0000-0000360E0000}"/>
    <cellStyle name="_YO DLPB Format-Sewing-E_YC_8 F Raw data_MFC(Yc 10C)" xfId="3640" xr:uid="{00000000-0005-0000-0000-0000370E0000}"/>
    <cellStyle name="_YO DLPB Format-Sewing-E_YC_8 F Raw data_OCT Graph A1" xfId="3641" xr:uid="{00000000-0005-0000-0000-0000380E0000}"/>
    <cellStyle name="_YO DLPB Format-Sewing-E_YC_8 F Raw data_peroto Chart YC-8" xfId="3642" xr:uid="{00000000-0005-0000-0000-0000390E0000}"/>
    <cellStyle name="_YO DLPB Format-Sewing-E_YC_8 F Raw data_SK Raw data of SKB in Yc-8-(J) 01~05 Dec'2012" xfId="3643" xr:uid="{00000000-0005-0000-0000-00003A0E0000}"/>
    <cellStyle name="_YO DLPB Format-Sewing-E_YC_8 F Raw data_SK Raw data of SKB in Yc-8-(J) 01~05 Dec'2012_Base line Data-YC-15(G)" xfId="3644" xr:uid="{00000000-0005-0000-0000-00003B0E0000}"/>
    <cellStyle name="_YO DLPB Format-Sewing-E_YC_8 F Raw data_SK Raw data of SKB in Yc-8-(J) 01~05 Dec'2012_Book1" xfId="3645" xr:uid="{00000000-0005-0000-0000-00003C0E0000}"/>
    <cellStyle name="_YO DLPB Format-Sewing-E_YC_8 F Raw data_SK Raw data of SKB in Yc-8-(J) 01~05 Dec'2012_Style Changeover Data Information-" xfId="3646" xr:uid="{00000000-0005-0000-0000-00003D0E0000}"/>
    <cellStyle name="_YO DLPB Format-Sewing-E_YC_8 F Raw data_SK Raw data of SKB in Yc-8-(J) 01~05 Dec'2012_Style Changeover Data Information-YCL13C" xfId="3647" xr:uid="{00000000-0005-0000-0000-00003E0E0000}"/>
    <cellStyle name="_YO DLPB Format-Sewing-E_YC_8 F Raw data_SKB RAW DATA" xfId="3648" xr:uid="{00000000-0005-0000-0000-00003F0E0000}"/>
    <cellStyle name="_YO DLPB Format-Sewing-E_YC_8 F Raw data_SKB YC-8(J)" xfId="3649" xr:uid="{00000000-0005-0000-0000-0000400E0000}"/>
    <cellStyle name="_YO DLPB Format-Sewing-E_YC_8 F Raw data_SKB(Sewing Kaizen - YCL 14 (A)" xfId="3650" xr:uid="{00000000-0005-0000-0000-0000410E0000}"/>
    <cellStyle name="_YO DLPB Format-Sewing-E_YC_8 F Raw data_SQDC Board format (revised)-2013" xfId="3651" xr:uid="{00000000-0005-0000-0000-0000420E0000}"/>
    <cellStyle name="_YO DLPB Format-Sewing-E_YC_8 F Raw data_Style Change Over YC-6 E 23~227 Mar, 2013" xfId="3652" xr:uid="{00000000-0005-0000-0000-0000430E0000}"/>
    <cellStyle name="_YO DLPB Format-Sewing-E_YC_8 F Raw data_Style Change Over YC-7H  16~21 Aprl, 2013" xfId="3653" xr:uid="{00000000-0005-0000-0000-0000440E0000}"/>
    <cellStyle name="_YO DLPB Format-Sewing-E_YC_8 F Raw data_Style Changeover Data Information-" xfId="3654" xr:uid="{00000000-0005-0000-0000-0000450E0000}"/>
    <cellStyle name="_YO DLPB Format-Sewing-E_YC_8 F Raw data_Xl0000034" xfId="3655" xr:uid="{00000000-0005-0000-0000-0000460E0000}"/>
    <cellStyle name="_YO DLPB Format-Sewing-E_YC-8 (I+G2) Raw data" xfId="3656" xr:uid="{00000000-0005-0000-0000-0000470E0000}"/>
    <cellStyle name="_YO DLPB Format-Sewing-E_YC-8-I+G1  29-04-2012" xfId="3657" xr:uid="{00000000-0005-0000-0000-0000480E0000}"/>
    <cellStyle name="_YO DLPB Format-Sewing-E_YC-8-I+G2  30-05-2012" xfId="3658" xr:uid="{00000000-0005-0000-0000-0000490E0000}"/>
    <cellStyle name="_YO DLPB Format-Sewing-E_Yc-9E" xfId="3659" xr:uid="{00000000-0005-0000-0000-00004A0E0000}"/>
    <cellStyle name="_YO DLPB Format-Sewing-E_Yc-9E_Style Change Over YC-7H  16~21 Aprl, 2013" xfId="3660" xr:uid="{00000000-0005-0000-0000-00004B0E0000}"/>
    <cellStyle name="_YO DLPB Format-Sewing-E_Yc-9E_Style Change Over YC-7H  16~21 Aprl, 2013_Base line Data-YC-15(G)" xfId="3661" xr:uid="{00000000-0005-0000-0000-00004C0E0000}"/>
    <cellStyle name="_YO DLPB Format-Sewing-E_Yc-9E_Style Change Over YC-7H  16~21 Aprl, 2013_Book1" xfId="3662" xr:uid="{00000000-0005-0000-0000-00004D0E0000}"/>
    <cellStyle name="_YO DLPB Format-Sewing-E_Yc-9E_Style Change Over YC-7H  16~21 Aprl, 2013_Style Changeover Data Information-" xfId="3663" xr:uid="{00000000-0005-0000-0000-00004E0E0000}"/>
    <cellStyle name="_YO DLPB Format-Sewing-E_Yc-9E_Style Change Over YC-7H  16~21 Aprl, 2013_Style Changeover Data Information-YCL13C" xfId="3664" xr:uid="{00000000-0005-0000-0000-00004F0E0000}"/>
    <cellStyle name="_YO DLPB Format-Sewing-E_Yc-9E_Style Change Over YC-9 (I)  28~02 May, 2013" xfId="3665" xr:uid="{00000000-0005-0000-0000-0000500E0000}"/>
    <cellStyle name="_YO DLPB Format-Sewing-E_Yc-9E_Style Change Over YC-9 (I)  28~02 May, 2013_Base line Data-YC-15(G)" xfId="3666" xr:uid="{00000000-0005-0000-0000-0000510E0000}"/>
    <cellStyle name="_YO DLPB Format-Sewing-E_Yc-9E_Style Change Over YC-9 (I)  28~02 May, 2013_Book1" xfId="3667" xr:uid="{00000000-0005-0000-0000-0000520E0000}"/>
    <cellStyle name="_YO DLPB Format-Sewing-E_Yc-9E_Style Change Over YC-9 (I)  28~02 May, 2013_Style Changeover Data Information-" xfId="3668" xr:uid="{00000000-0005-0000-0000-0000530E0000}"/>
    <cellStyle name="_YO DLPB Format-Sewing-E_Yc-9E_Style Change Over YC-9 (I)  28~02 May, 2013_Style Changeover Data Information-YCL13C" xfId="3669" xr:uid="{00000000-0005-0000-0000-0000540E0000}"/>
    <cellStyle name="_YO DLPB Format-Sewing-E_Yc-9E1" xfId="3670" xr:uid="{00000000-0005-0000-0000-0000550E0000}"/>
    <cellStyle name="_YO DLPB Format-Sewing-E_Yc-9E1_Style Change Over YC-7H  16~21 Aprl, 2013" xfId="3671" xr:uid="{00000000-0005-0000-0000-0000560E0000}"/>
    <cellStyle name="_YO DLPB Format-Sewing-E_Yc-9E1_Style Change Over YC-7H  16~21 Aprl, 2013_Base line Data-YC-15(G)" xfId="3672" xr:uid="{00000000-0005-0000-0000-0000570E0000}"/>
    <cellStyle name="_YO DLPB Format-Sewing-E_Yc-9E1_Style Change Over YC-7H  16~21 Aprl, 2013_Book1" xfId="3673" xr:uid="{00000000-0005-0000-0000-0000580E0000}"/>
    <cellStyle name="_YO DLPB Format-Sewing-E_Yc-9E1_Style Change Over YC-7H  16~21 Aprl, 2013_Style Changeover Data Information-" xfId="3674" xr:uid="{00000000-0005-0000-0000-0000590E0000}"/>
    <cellStyle name="_YO DLPB Format-Sewing-E_Yc-9E1_Style Change Over YC-7H  16~21 Aprl, 2013_Style Changeover Data Information-YCL13C" xfId="3675" xr:uid="{00000000-0005-0000-0000-00005A0E0000}"/>
    <cellStyle name="_YO DLPB Format-Sewing-E_Yc-9E1_Style Change Over YC-9 (I)  28~02 May, 2013" xfId="3676" xr:uid="{00000000-0005-0000-0000-00005B0E0000}"/>
    <cellStyle name="_YO DLPB Format-Sewing-E_Yc-9E1_Style Change Over YC-9 (I)  28~02 May, 2013_Base line Data-YC-15(G)" xfId="3677" xr:uid="{00000000-0005-0000-0000-00005C0E0000}"/>
    <cellStyle name="_YO DLPB Format-Sewing-E_Yc-9E1_Style Change Over YC-9 (I)  28~02 May, 2013_Book1" xfId="3678" xr:uid="{00000000-0005-0000-0000-00005D0E0000}"/>
    <cellStyle name="_YO DLPB Format-Sewing-E_Yc-9E1_Style Change Over YC-9 (I)  28~02 May, 2013_Style Changeover Data Information-" xfId="3679" xr:uid="{00000000-0005-0000-0000-00005E0E0000}"/>
    <cellStyle name="_YO DLPB Format-Sewing-E_Yc-9E1_Style Change Over YC-9 (I)  28~02 May, 2013_Style Changeover Data Information-YCL13C" xfId="3680" xr:uid="{00000000-0005-0000-0000-00005F0E0000}"/>
    <cellStyle name="_YO DLPB Format-Sewing-E_YCL - 8 (H) ~ Changeover -Raw data(16 Feb~22 Feb,12)" xfId="3681" xr:uid="{00000000-0005-0000-0000-0000600E0000}"/>
    <cellStyle name="_YO DLPB Format-Sewing-E_YCL- 8 E+MOD~ Changeover -Raw data(3rd April to 7th April )" xfId="3682" xr:uid="{00000000-0005-0000-0000-0000610E0000}"/>
    <cellStyle name="_YO DLPB Format-Sewing-E_YCL2012_003I_SKB Presentation_YCL 8-I+G2(Changeover)_24~29 Aprl,2012 (version 1)" xfId="3683" xr:uid="{00000000-0005-0000-0000-0000620E0000}"/>
    <cellStyle name="_YO DLPB Format-Sewing-E_YCL2012-010I-SKB Presentation_YCL 8(H+G1_Changeover_12~18 April, 2012" xfId="3684" xr:uid="{00000000-0005-0000-0000-0000630E0000}"/>
    <cellStyle name="_YO DLPB Format-Sewing-E_YCL2012-010I-SKB Presentation_YCL 8(H+G1_Changeover_12~18 April, 2012_Base Line Data YC-8(C)" xfId="3685" xr:uid="{00000000-0005-0000-0000-0000640E0000}"/>
    <cellStyle name="_YO DLPB Format-Sewing-E_YCL2012-010I-SKB Presentation_YCL 8(H+G1_Changeover_12~18 April, 2012_Base line Data-YC-15(G)" xfId="3686" xr:uid="{00000000-0005-0000-0000-0000650E0000}"/>
    <cellStyle name="_YO DLPB Format-Sewing-E_YCL2012-010I-SKB Presentation_YCL 8(H+G1_Changeover_12~18 April, 2012_Book1" xfId="3687" xr:uid="{00000000-0005-0000-0000-0000660E0000}"/>
    <cellStyle name="_YO DLPB Format-Sewing-E_YCL2012-010I-SKB Presentation_YCL 8(H+G1_Changeover_12~18 April, 2012_Copy of SK Raw data of SKB in Yc-6-(C) 26~31Jan '20131" xfId="3688" xr:uid="{00000000-0005-0000-0000-0000670E0000}"/>
    <cellStyle name="_YO DLPB Format-Sewing-E_YCL2012-010I-SKB Presentation_YCL 8(H+G1_Changeover_12~18 April, 2012_Flow Chart YC-8(C) Before1" xfId="3689" xr:uid="{00000000-0005-0000-0000-0000680E0000}"/>
    <cellStyle name="_YO DLPB Format-Sewing-E_YCL2012-010I-SKB Presentation_YCL 8(H+G1_Changeover_12~18 April, 2012_OCT Graph A1" xfId="3690" xr:uid="{00000000-0005-0000-0000-0000690E0000}"/>
    <cellStyle name="_YO DLPB Format-Sewing-E_YCL2012-010I-SKB Presentation_YCL 8(H+G1_Changeover_12~18 April, 2012_SK Raw data of SKB in Yc-8-(J) 01~05 Dec'2012" xfId="3691" xr:uid="{00000000-0005-0000-0000-00006A0E0000}"/>
    <cellStyle name="_YO DLPB Format-Sewing-E_YCL2012-010I-SKB Presentation_YCL 8(H+G1_Changeover_12~18 April, 2012_SK Raw data of SKB in Yc-8-(J) 01~05 Dec'2012_Base line Data-YC-15(G)" xfId="3692" xr:uid="{00000000-0005-0000-0000-00006B0E0000}"/>
    <cellStyle name="_YO DLPB Format-Sewing-E_YCL2012-010I-SKB Presentation_YCL 8(H+G1_Changeover_12~18 April, 2012_SK Raw data of SKB in Yc-8-(J) 01~05 Dec'2012_Book1" xfId="3693" xr:uid="{00000000-0005-0000-0000-00006C0E0000}"/>
    <cellStyle name="_YO DLPB Format-Sewing-E_YCL2012-010I-SKB Presentation_YCL 8(H+G1_Changeover_12~18 April, 2012_SK Raw data of SKB in Yc-8-(J) 01~05 Dec'2012_Style Changeover Data Information-" xfId="3694" xr:uid="{00000000-0005-0000-0000-00006D0E0000}"/>
    <cellStyle name="_YO DLPB Format-Sewing-E_YCL2012-010I-SKB Presentation_YCL 8(H+G1_Changeover_12~18 April, 2012_SK Raw data of SKB in Yc-8-(J) 01~05 Dec'2012_Style Changeover Data Information-YCL13C" xfId="3695" xr:uid="{00000000-0005-0000-0000-00006E0E0000}"/>
    <cellStyle name="_YO DLPB Format-Sewing-E_YCL2012-010I-SKB Presentation_YCL 8(H+G1_Changeover_12~18 April, 2012_SKB RAW DATA" xfId="3696" xr:uid="{00000000-0005-0000-0000-00006F0E0000}"/>
    <cellStyle name="_YO DLPB Format-Sewing-E_YCL2012-010I-SKB Presentation_YCL 8(H+G1_Changeover_12~18 April, 2012_SKB YC-8(J)" xfId="3697" xr:uid="{00000000-0005-0000-0000-0000700E0000}"/>
    <cellStyle name="_YO DLPB Format-Sewing-E_YCL2012-010I-SKB Presentation_YCL 8(H+G1_Changeover_12~18 April, 2012_SKB(Sewing Kaizen - YCL 14 (A)" xfId="3698" xr:uid="{00000000-0005-0000-0000-0000710E0000}"/>
    <cellStyle name="_YO DLPB Format-Sewing-E_YCL2012-010I-SKB Presentation_YCL 8(H+G1_Changeover_12~18 April, 2012_SQDC Board format (revised)-2013" xfId="3699" xr:uid="{00000000-0005-0000-0000-0000720E0000}"/>
    <cellStyle name="_YO DLPB Format-Sewing-E_YCL2012-010I-SKB Presentation_YCL 8(H+G1_Changeover_12~18 April, 2012_Style Changeover Data Information-" xfId="3700" xr:uid="{00000000-0005-0000-0000-0000730E0000}"/>
    <cellStyle name="_YO DLPB Format-Sewing-E_YCL2012-010I-SKB Presentation_YCL 8(H+G1_Changeover_12~18 April, 2012_Xl0000034" xfId="3701" xr:uid="{00000000-0005-0000-0000-0000740E0000}"/>
    <cellStyle name="_YO DLPB Format-Sewing-E_Ycl-6C" xfId="3702" xr:uid="{00000000-0005-0000-0000-0000750E0000}"/>
    <cellStyle name="_YO DLPB Format-Sewing-E_Ycl-7H" xfId="3703" xr:uid="{00000000-0005-0000-0000-0000760E0000}"/>
    <cellStyle name="_YO DLPB Format-Sewing-E_Ycl-7H_Base line Data-YC-15(G)" xfId="3704" xr:uid="{00000000-0005-0000-0000-0000770E0000}"/>
    <cellStyle name="_YO DLPB Format-Sewing-E_Ycl-7H_Book1" xfId="3705" xr:uid="{00000000-0005-0000-0000-0000780E0000}"/>
    <cellStyle name="_YO DLPB Format-Sewing-E_Ycl-7H_Style Changeover Data Information-" xfId="3706" xr:uid="{00000000-0005-0000-0000-0000790E0000}"/>
    <cellStyle name="_YO DLPB Format-Sewing-E_Ycl-7H_Style Changeover Data Information-YCL13C" xfId="3707" xr:uid="{00000000-0005-0000-0000-00007A0E0000}"/>
    <cellStyle name="_YO DLPB Format-Sewing-E_YCL-8-G+1 31-01-2012" xfId="3708" xr:uid="{00000000-0005-0000-0000-00007B0E0000}"/>
    <cellStyle name="_YO DLPB Format-Sewing-E_YCL-8-G+1 31-01-2012_After 5's" xfId="3709" xr:uid="{00000000-0005-0000-0000-00007C0E0000}"/>
    <cellStyle name="_YO DLPB Format-Sewing-E_YCL-8-G+1 31-01-2012_Base Line Data YC-8(C)" xfId="3710" xr:uid="{00000000-0005-0000-0000-00007D0E0000}"/>
    <cellStyle name="_YO DLPB Format-Sewing-E_YCL-8-G+1 31-01-2012_Base line Data-YC-15(G)" xfId="3711" xr:uid="{00000000-0005-0000-0000-00007E0E0000}"/>
    <cellStyle name="_YO DLPB Format-Sewing-E_YCL-8-G+1 31-01-2012_Book1" xfId="3712" xr:uid="{00000000-0005-0000-0000-00007F0E0000}"/>
    <cellStyle name="_YO DLPB Format-Sewing-E_YCL-8-G+1 31-01-2012_Copy of SK Raw data of SKB in Yc-6-(C) 26~31Jan '20131" xfId="3713" xr:uid="{00000000-0005-0000-0000-0000800E0000}"/>
    <cellStyle name="_YO DLPB Format-Sewing-E_YCL-8-G+1 31-01-2012_Critical poin" xfId="3714" xr:uid="{00000000-0005-0000-0000-0000810E0000}"/>
    <cellStyle name="_YO DLPB Format-Sewing-E_YCL-8-G+1 31-01-2012_Critical poin1" xfId="3715" xr:uid="{00000000-0005-0000-0000-0000820E0000}"/>
    <cellStyle name="_YO DLPB Format-Sewing-E_YCL-8-G+1 31-01-2012_Flow Chart YC-8(C) Before1" xfId="3716" xr:uid="{00000000-0005-0000-0000-0000830E0000}"/>
    <cellStyle name="_YO DLPB Format-Sewing-E_YCL-8-G+1 31-01-2012_OCT Graph A1" xfId="3717" xr:uid="{00000000-0005-0000-0000-0000840E0000}"/>
    <cellStyle name="_YO DLPB Format-Sewing-E_YCL-8-G+1 31-01-2012_peroto Chart YC-8" xfId="3718" xr:uid="{00000000-0005-0000-0000-0000850E0000}"/>
    <cellStyle name="_YO DLPB Format-Sewing-E_YCL-8-G+1 31-01-2012_SK Raw data of SKB in Yc-8-(J) 01~05 Dec'2012" xfId="3719" xr:uid="{00000000-0005-0000-0000-0000860E0000}"/>
    <cellStyle name="_YO DLPB Format-Sewing-E_YCL-8-G+1 31-01-2012_SK Raw data of SKB in Yc-8-(J) 01~05 Dec'2012_Base line Data-YC-15(G)" xfId="3720" xr:uid="{00000000-0005-0000-0000-0000870E0000}"/>
    <cellStyle name="_YO DLPB Format-Sewing-E_YCL-8-G+1 31-01-2012_SK Raw data of SKB in Yc-8-(J) 01~05 Dec'2012_Book1" xfId="3721" xr:uid="{00000000-0005-0000-0000-0000880E0000}"/>
    <cellStyle name="_YO DLPB Format-Sewing-E_YCL-8-G+1 31-01-2012_SK Raw data of SKB in Yc-8-(J) 01~05 Dec'2012_Style Changeover Data Information-" xfId="3722" xr:uid="{00000000-0005-0000-0000-0000890E0000}"/>
    <cellStyle name="_YO DLPB Format-Sewing-E_YCL-8-G+1 31-01-2012_SK Raw data of SKB in Yc-8-(J) 01~05 Dec'2012_Style Changeover Data Information-YCL13C" xfId="3723" xr:uid="{00000000-0005-0000-0000-00008A0E0000}"/>
    <cellStyle name="_YO DLPB Format-Sewing-E_YCL-8-G+1 31-01-2012_SKB RAW DATA" xfId="3724" xr:uid="{00000000-0005-0000-0000-00008B0E0000}"/>
    <cellStyle name="_YO DLPB Format-Sewing-E_YCL-8-G+1 31-01-2012_SKB YC-8(J)" xfId="3725" xr:uid="{00000000-0005-0000-0000-00008C0E0000}"/>
    <cellStyle name="_YO DLPB Format-Sewing-E_YCL-8-G+1 31-01-2012_SKB(Sewing Kaizen - YCL 14 (A)" xfId="3726" xr:uid="{00000000-0005-0000-0000-00008D0E0000}"/>
    <cellStyle name="_YO DLPB Format-Sewing-E_YCL-8-G+1 31-01-2012_SQDC Board format (revised)-2013" xfId="3727" xr:uid="{00000000-0005-0000-0000-00008E0E0000}"/>
    <cellStyle name="_YO DLPB Format-Sewing-E_YCL-8-G+1 31-01-2012_Style Change Over YC-7H  16~21 Aprl, 2013" xfId="3728" xr:uid="{00000000-0005-0000-0000-00008F0E0000}"/>
    <cellStyle name="_YO DLPB Format-Sewing-E_YCL-8-G+1 31-01-2012_Style Change Over YC-7H  16~21 Aprl, 2013_Base line Data-YC-15(G)" xfId="3729" xr:uid="{00000000-0005-0000-0000-0000900E0000}"/>
    <cellStyle name="_YO DLPB Format-Sewing-E_YCL-8-G+1 31-01-2012_Style Change Over YC-7H  16~21 Aprl, 2013_Book1" xfId="3730" xr:uid="{00000000-0005-0000-0000-0000910E0000}"/>
    <cellStyle name="_YO DLPB Format-Sewing-E_YCL-8-G+1 31-01-2012_Style Change Over YC-7H  16~21 Aprl, 2013_Style Changeover Data Information-" xfId="3731" xr:uid="{00000000-0005-0000-0000-0000920E0000}"/>
    <cellStyle name="_YO DLPB Format-Sewing-E_YCL-8-G+1 31-01-2012_Style Change Over YC-7H  16~21 Aprl, 2013_Style Changeover Data Information-YCL13C" xfId="3732" xr:uid="{00000000-0005-0000-0000-0000930E0000}"/>
    <cellStyle name="_YO DLPB Format-Sewing-E_YCL-8-G+1 31-01-2012_Style Change Over YC-9 (I)  28~02 May, 2013" xfId="3733" xr:uid="{00000000-0005-0000-0000-0000940E0000}"/>
    <cellStyle name="_YO DLPB Format-Sewing-E_YCL-8-G+1 31-01-2012_Style Change Over YC-9 (I)  28~02 May, 2013_Base line Data-YC-15(G)" xfId="3734" xr:uid="{00000000-0005-0000-0000-0000950E0000}"/>
    <cellStyle name="_YO DLPB Format-Sewing-E_YCL-8-G+1 31-01-2012_Style Change Over YC-9 (I)  28~02 May, 2013_Book1" xfId="3735" xr:uid="{00000000-0005-0000-0000-0000960E0000}"/>
    <cellStyle name="_YO DLPB Format-Sewing-E_YCL-8-G+1 31-01-2012_Style Change Over YC-9 (I)  28~02 May, 2013_Style Changeover Data Information-" xfId="3736" xr:uid="{00000000-0005-0000-0000-0000970E0000}"/>
    <cellStyle name="_YO DLPB Format-Sewing-E_YCL-8-G+1 31-01-2012_Style Change Over YC-9 (I)  28~02 May, 2013_Style Changeover Data Information-YCL13C" xfId="3737" xr:uid="{00000000-0005-0000-0000-0000980E0000}"/>
    <cellStyle name="_YO DLPB Format-Sewing-E_YCL-8-G+1 31-01-2012_Style Changeover Data Information-" xfId="3738" xr:uid="{00000000-0005-0000-0000-0000990E0000}"/>
    <cellStyle name="_YO DLPB Format-Sewing-E_YCL-8-G+1 31-01-2012_Xl0000034" xfId="3739" xr:uid="{00000000-0005-0000-0000-00009A0E0000}"/>
    <cellStyle name="_YO DLPB Format-Sewing-E1" xfId="3740" xr:uid="{00000000-0005-0000-0000-00009B0E0000}"/>
    <cellStyle name="_YO DLPB Format-Sewing-E1_After 5's" xfId="3741" xr:uid="{00000000-0005-0000-0000-00009C0E0000}"/>
    <cellStyle name="_YO DLPB Format-Sewing-E1_Base Line Data YC-8(C)" xfId="3742" xr:uid="{00000000-0005-0000-0000-00009D0E0000}"/>
    <cellStyle name="_YO DLPB Format-Sewing-E1_Base line Data-YC-15(G)" xfId="3743" xr:uid="{00000000-0005-0000-0000-00009E0E0000}"/>
    <cellStyle name="_YO DLPB Format-Sewing-E1_Before 5's YC-8(C)" xfId="3744" xr:uid="{00000000-0005-0000-0000-00009F0E0000}"/>
    <cellStyle name="_YO DLPB Format-Sewing-E1_Book1" xfId="3745" xr:uid="{00000000-0005-0000-0000-0000A00E0000}"/>
    <cellStyle name="_YO DLPB Format-Sewing-E1_Copy of SK Raw data of SKB in Yc-6-(C) 26~31Jan '20131" xfId="3746" xr:uid="{00000000-0005-0000-0000-0000A10E0000}"/>
    <cellStyle name="_YO DLPB Format-Sewing-E1_Flow Chart YC-8(C) Before1" xfId="3747" xr:uid="{00000000-0005-0000-0000-0000A20E0000}"/>
    <cellStyle name="_YO DLPB Format-Sewing-E1_Graph-6B3" xfId="3748" xr:uid="{00000000-0005-0000-0000-0000A30E0000}"/>
    <cellStyle name="_YO DLPB Format-Sewing-E1_Graph-6B4" xfId="3749" xr:uid="{00000000-0005-0000-0000-0000A40E0000}"/>
    <cellStyle name="_YO DLPB Format-Sewing-E1_Graph-6B5" xfId="3750" xr:uid="{00000000-0005-0000-0000-0000A50E0000}"/>
    <cellStyle name="_YO DLPB Format-Sewing-E1_Graph-8I" xfId="3751" xr:uid="{00000000-0005-0000-0000-0000A60E0000}"/>
    <cellStyle name="_YO DLPB Format-Sewing-E1_Ksl-05H Line Style Changeover Dt#20~26 Nov'  2012" xfId="3752" xr:uid="{00000000-0005-0000-0000-0000A70E0000}"/>
    <cellStyle name="_YO DLPB Format-Sewing-E1_Ksl-05H Line Style Changeover Dt#20~26 Nov'  2012_Participant List &amp; data for SKB  Sector-7 Ksl_4 Mini-3 Duration_06~10July 2013" xfId="3753" xr:uid="{00000000-0005-0000-0000-0000A80E0000}"/>
    <cellStyle name="_YO DLPB Format-Sewing-E1_Ksl-05H Line Style Changeover Dt#20~26 Nov'  2012_Participant List &amp; data for SKB  Sector-7 Ksl_6-F Duration_ 22~27 'June,2013" xfId="3754" xr:uid="{00000000-0005-0000-0000-0000A90E0000}"/>
    <cellStyle name="_YO DLPB Format-Sewing-E1_Ksl-6 Mini 1style Changeover Dt# 15th ~21th April' 20131" xfId="3755" xr:uid="{00000000-0005-0000-0000-0000AA0E0000}"/>
    <cellStyle name="_YO DLPB Format-Sewing-E1_Ksl-6 Mini 1style Changeover Dt# 15th ~21th April' 20131_Participant List &amp; data for SKB  Sector-7 Ksl_4 Mini-3 Duration_06~10July 2013" xfId="3756" xr:uid="{00000000-0005-0000-0000-0000AB0E0000}"/>
    <cellStyle name="_YO DLPB Format-Sewing-E1_MFC(Yc 10C)" xfId="3757" xr:uid="{00000000-0005-0000-0000-0000AC0E0000}"/>
    <cellStyle name="_YO DLPB Format-Sewing-E1_OCT Graph A1" xfId="3758" xr:uid="{00000000-0005-0000-0000-0000AD0E0000}"/>
    <cellStyle name="_YO DLPB Format-Sewing-E1_OCT-J" xfId="3759" xr:uid="{00000000-0005-0000-0000-0000AE0E0000}"/>
    <cellStyle name="_YO DLPB Format-Sewing-E1_OCT-J_After 5's" xfId="3760" xr:uid="{00000000-0005-0000-0000-0000AF0E0000}"/>
    <cellStyle name="_YO DLPB Format-Sewing-E1_OCT-J_Base Line Data YC-8(C)" xfId="3761" xr:uid="{00000000-0005-0000-0000-0000B00E0000}"/>
    <cellStyle name="_YO DLPB Format-Sewing-E1_OCT-J_Base line Data-YC-15(G)" xfId="3762" xr:uid="{00000000-0005-0000-0000-0000B10E0000}"/>
    <cellStyle name="_YO DLPB Format-Sewing-E1_OCT-J_Book1" xfId="3763" xr:uid="{00000000-0005-0000-0000-0000B20E0000}"/>
    <cellStyle name="_YO DLPB Format-Sewing-E1_OCT-J_Copy of SK Raw data of SKB in Yc-6-(C) 26~31Jan '20131" xfId="3764" xr:uid="{00000000-0005-0000-0000-0000B30E0000}"/>
    <cellStyle name="_YO DLPB Format-Sewing-E1_OCT-J_Critical poin" xfId="3765" xr:uid="{00000000-0005-0000-0000-0000B40E0000}"/>
    <cellStyle name="_YO DLPB Format-Sewing-E1_OCT-J_Critical poin1" xfId="3766" xr:uid="{00000000-0005-0000-0000-0000B50E0000}"/>
    <cellStyle name="_YO DLPB Format-Sewing-E1_OCT-J_Flow Chart YC-8(C) Before1" xfId="3767" xr:uid="{00000000-0005-0000-0000-0000B60E0000}"/>
    <cellStyle name="_YO DLPB Format-Sewing-E1_OCT-J_OCT Graph A1" xfId="3768" xr:uid="{00000000-0005-0000-0000-0000B70E0000}"/>
    <cellStyle name="_YO DLPB Format-Sewing-E1_OCT-J_peroto Chart YC-8" xfId="3769" xr:uid="{00000000-0005-0000-0000-0000B80E0000}"/>
    <cellStyle name="_YO DLPB Format-Sewing-E1_OCT-J_SK Raw data of SKB in Yc-8-(J) 01~05 Dec'2012" xfId="3770" xr:uid="{00000000-0005-0000-0000-0000B90E0000}"/>
    <cellStyle name="_YO DLPB Format-Sewing-E1_OCT-J_SK Raw data of SKB in Yc-8-(J) 01~05 Dec'2012_Base line Data-YC-15(G)" xfId="3771" xr:uid="{00000000-0005-0000-0000-0000BA0E0000}"/>
    <cellStyle name="_YO DLPB Format-Sewing-E1_OCT-J_SK Raw data of SKB in Yc-8-(J) 01~05 Dec'2012_Book1" xfId="3772" xr:uid="{00000000-0005-0000-0000-0000BB0E0000}"/>
    <cellStyle name="_YO DLPB Format-Sewing-E1_OCT-J_SK Raw data of SKB in Yc-8-(J) 01~05 Dec'2012_Style Changeover Data Information-" xfId="3773" xr:uid="{00000000-0005-0000-0000-0000BC0E0000}"/>
    <cellStyle name="_YO DLPB Format-Sewing-E1_OCT-J_SK Raw data of SKB in Yc-8-(J) 01~05 Dec'2012_Style Changeover Data Information-YCL13C" xfId="3774" xr:uid="{00000000-0005-0000-0000-0000BD0E0000}"/>
    <cellStyle name="_YO DLPB Format-Sewing-E1_OCT-J_SKB RAW DATA" xfId="3775" xr:uid="{00000000-0005-0000-0000-0000BE0E0000}"/>
    <cellStyle name="_YO DLPB Format-Sewing-E1_OCT-J_SKB YC-8(J)" xfId="3776" xr:uid="{00000000-0005-0000-0000-0000BF0E0000}"/>
    <cellStyle name="_YO DLPB Format-Sewing-E1_OCT-J_SKB(Sewing Kaizen - YCL 14 (A)" xfId="3777" xr:uid="{00000000-0005-0000-0000-0000C00E0000}"/>
    <cellStyle name="_YO DLPB Format-Sewing-E1_OCT-J_SQDC Board format (revised)-2013" xfId="3778" xr:uid="{00000000-0005-0000-0000-0000C10E0000}"/>
    <cellStyle name="_YO DLPB Format-Sewing-E1_OCT-J_Style Change Over YC-7H  16~21 Aprl, 2013" xfId="3779" xr:uid="{00000000-0005-0000-0000-0000C20E0000}"/>
    <cellStyle name="_YO DLPB Format-Sewing-E1_OCT-J_Style Change Over YC-7H  16~21 Aprl, 2013_Base line Data-YC-15(G)" xfId="3780" xr:uid="{00000000-0005-0000-0000-0000C30E0000}"/>
    <cellStyle name="_YO DLPB Format-Sewing-E1_OCT-J_Style Change Over YC-7H  16~21 Aprl, 2013_Book1" xfId="3781" xr:uid="{00000000-0005-0000-0000-0000C40E0000}"/>
    <cellStyle name="_YO DLPB Format-Sewing-E1_OCT-J_Style Change Over YC-7H  16~21 Aprl, 2013_Style Changeover Data Information-" xfId="3782" xr:uid="{00000000-0005-0000-0000-0000C50E0000}"/>
    <cellStyle name="_YO DLPB Format-Sewing-E1_OCT-J_Style Change Over YC-7H  16~21 Aprl, 2013_Style Changeover Data Information-YCL13C" xfId="3783" xr:uid="{00000000-0005-0000-0000-0000C60E0000}"/>
    <cellStyle name="_YO DLPB Format-Sewing-E1_OCT-J_Style Change Over YC-9 (I)  28~02 May, 2013" xfId="3784" xr:uid="{00000000-0005-0000-0000-0000C70E0000}"/>
    <cellStyle name="_YO DLPB Format-Sewing-E1_OCT-J_Style Change Over YC-9 (I)  28~02 May, 2013_Base line Data-YC-15(G)" xfId="3785" xr:uid="{00000000-0005-0000-0000-0000C80E0000}"/>
    <cellStyle name="_YO DLPB Format-Sewing-E1_OCT-J_Style Change Over YC-9 (I)  28~02 May, 2013_Book1" xfId="3786" xr:uid="{00000000-0005-0000-0000-0000C90E0000}"/>
    <cellStyle name="_YO DLPB Format-Sewing-E1_OCT-J_Style Change Over YC-9 (I)  28~02 May, 2013_Style Changeover Data Information-" xfId="3787" xr:uid="{00000000-0005-0000-0000-0000CA0E0000}"/>
    <cellStyle name="_YO DLPB Format-Sewing-E1_OCT-J_Style Change Over YC-9 (I)  28~02 May, 2013_Style Changeover Data Information-YCL13C" xfId="3788" xr:uid="{00000000-0005-0000-0000-0000CB0E0000}"/>
    <cellStyle name="_YO DLPB Format-Sewing-E1_OCT-J_Style Changeover Data Information-" xfId="3789" xr:uid="{00000000-0005-0000-0000-0000CC0E0000}"/>
    <cellStyle name="_YO DLPB Format-Sewing-E1_OCT-J_Xl0000034" xfId="3790" xr:uid="{00000000-0005-0000-0000-0000CD0E0000}"/>
    <cellStyle name="_YO DLPB Format-Sewing-E1_Participant List &amp; data for SKB  Sector-7 Ksl_6 D Duration_ 02 ~06 Feb,20131" xfId="3791" xr:uid="{00000000-0005-0000-0000-0000CE0E0000}"/>
    <cellStyle name="_YO DLPB Format-Sewing-E1_Participant List &amp; data for SKB  Sector-7 Ksl_6 E Duration_ 21 ~25 April,2013" xfId="3792" xr:uid="{00000000-0005-0000-0000-0000CF0E0000}"/>
    <cellStyle name="_YO DLPB Format-Sewing-E1_Participant List &amp; data for SKB  Sector-7 Ksl_6 Mini-1 Duration_23 ~27 Feb,20131" xfId="3793" xr:uid="{00000000-0005-0000-0000-0000D00E0000}"/>
    <cellStyle name="_YO DLPB Format-Sewing-E1_Participant List &amp; data for SKB  Sector-7 Ksl_6 Mini-1 Duration_29th April ~05th MAY,20131" xfId="3794" xr:uid="{00000000-0005-0000-0000-0000D10E0000}"/>
    <cellStyle name="_YO DLPB Format-Sewing-E1_Participant List &amp; data for SKB  Sector-7 Ksl_6 Mini-4 Duration_2 ~06th March,2013" xfId="3795" xr:uid="{00000000-0005-0000-0000-0000D20E0000}"/>
    <cellStyle name="_YO DLPB Format-Sewing-E1_Participants list &amp; data for (Ksl_6Mini 1) 15th ~ 22th April '2013" xfId="3796" xr:uid="{00000000-0005-0000-0000-0000D30E0000}"/>
    <cellStyle name="_YO DLPB Format-Sewing-E1_Participants list &amp; data for SKB- (Ksl_5_G. Sector 7) 16~20 June'2012" xfId="3797" xr:uid="{00000000-0005-0000-0000-0000D40E0000}"/>
    <cellStyle name="_YO DLPB Format-Sewing-E1_Participants list &amp; data for SKB- (Ksl_6_A+B1 Line Sector 7)  Jan12 ~16,2013" xfId="3798" xr:uid="{00000000-0005-0000-0000-0000D50E0000}"/>
    <cellStyle name="_YO DLPB Format-Sewing-E1_Participants list &amp; data for SKB- (Ksl_6_A+B1 Line Sector 7)  Jan12 ~16,2013_Participant List &amp; data for SKB  Sector-7 Ksl_4 Mini-3 Duration_06~10July 2013" xfId="3799" xr:uid="{00000000-0005-0000-0000-0000D60E0000}"/>
    <cellStyle name="_YO DLPB Format-Sewing-E1_Participants list &amp; data for SKB- (Ksl_6_A+B1 Line Sector 7)  Jan12 ~16,2013_Participant List &amp; data for SKB  Sector-7 Ksl_6-F Duration_ 22~27 'June,2013" xfId="3800" xr:uid="{00000000-0005-0000-0000-0000D70E0000}"/>
    <cellStyle name="_YO DLPB Format-Sewing-E1_participants list &amp; data for SKB- (Ksl_6_A+B1 Line Sector 7)  Jan12 ~16,20131" xfId="3801" xr:uid="{00000000-0005-0000-0000-0000D80E0000}"/>
    <cellStyle name="_YO DLPB Format-Sewing-E1_participants list &amp; data for SKB- (Ksl_6_A+B1 Line Sector 7)  Jan12 ~16,20131_Participant List &amp; data for SKB  Sector-7 Ksl_4 Mini-3 Duration_06~10July 2013" xfId="3802" xr:uid="{00000000-0005-0000-0000-0000D90E0000}"/>
    <cellStyle name="_YO DLPB Format-Sewing-E1_participants list &amp; data for SKB- (Ksl_6_A+B1 Line Sector 7)  Jan12 ~16,20131_Participant List &amp; data for SKB  Sector-7 Ksl_6-F Duration_ 22~27 'June,2013" xfId="3803" xr:uid="{00000000-0005-0000-0000-0000DA0E0000}"/>
    <cellStyle name="_YO DLPB Format-Sewing-E1_participants list &amp; data for SKB- (Ksl_6_D Line Sector 7)  Fab 02~06,2013" xfId="3804" xr:uid="{00000000-0005-0000-0000-0000DB0E0000}"/>
    <cellStyle name="_YO DLPB Format-Sewing-E1_participants list &amp; data for SKB- (Ksl_6_D Line Sector 7)  Fab 02~06,2013_Participant List &amp; data for SKB  Sector-7 Ksl_4 Mini-3 Duration_06~10July 2013" xfId="3805" xr:uid="{00000000-0005-0000-0000-0000DC0E0000}"/>
    <cellStyle name="_YO DLPB Format-Sewing-E1_peroto Chart YC-8" xfId="3806" xr:uid="{00000000-0005-0000-0000-0000DD0E0000}"/>
    <cellStyle name="_YO DLPB Format-Sewing-E1_SK Raw data of SKB in Yc-8-(J) 01~05 Dec'2012" xfId="3807" xr:uid="{00000000-0005-0000-0000-0000DE0E0000}"/>
    <cellStyle name="_YO DLPB Format-Sewing-E1_SK Raw data of SKB in Yc-8-(J) 01~05 Dec'2012_Base line Data-YC-15(G)" xfId="3808" xr:uid="{00000000-0005-0000-0000-0000DF0E0000}"/>
    <cellStyle name="_YO DLPB Format-Sewing-E1_SK Raw data of SKB in Yc-8-(J) 01~05 Dec'2012_Book1" xfId="3809" xr:uid="{00000000-0005-0000-0000-0000E00E0000}"/>
    <cellStyle name="_YO DLPB Format-Sewing-E1_SK Raw data of SKB in Yc-8-(J) 01~05 Dec'2012_Style Changeover Data Information-" xfId="3810" xr:uid="{00000000-0005-0000-0000-0000E10E0000}"/>
    <cellStyle name="_YO DLPB Format-Sewing-E1_SK Raw data of SKB in Yc-8-(J) 01~05 Dec'2012_Style Changeover Data Information-YCL13C" xfId="3811" xr:uid="{00000000-0005-0000-0000-0000E20E0000}"/>
    <cellStyle name="_YO DLPB Format-Sewing-E1_SK Raw data of SKB in Yc-8-I+G2 28Apr~3May'2012" xfId="3812" xr:uid="{00000000-0005-0000-0000-0000E30E0000}"/>
    <cellStyle name="_YO DLPB Format-Sewing-E1_SKB- (Ksl_6_E  Graph &amp; Flow Chart" xfId="3813" xr:uid="{00000000-0005-0000-0000-0000E40E0000}"/>
    <cellStyle name="_YO DLPB Format-Sewing-E1_SKB- (Ksl_6_Mini-1Duration _12~16 May,2013)" xfId="3814" xr:uid="{00000000-0005-0000-0000-0000E50E0000}"/>
    <cellStyle name="_YO DLPB Format-Sewing-E1_SKB YC-8(J)" xfId="3815" xr:uid="{00000000-0005-0000-0000-0000E60E0000}"/>
    <cellStyle name="_YO DLPB Format-Sewing-E1_SKB(Sewing Kaizen - YCL 14 (A)" xfId="3816" xr:uid="{00000000-0005-0000-0000-0000E70E0000}"/>
    <cellStyle name="_YO DLPB Format-Sewing-E1_SQDC Board format (revised)-2013" xfId="3817" xr:uid="{00000000-0005-0000-0000-0000E80E0000}"/>
    <cellStyle name="_YO DLPB Format-Sewing-E1_Style Change Over YC-6 E 23~227 Mar, 2013" xfId="3818" xr:uid="{00000000-0005-0000-0000-0000E90E0000}"/>
    <cellStyle name="_YO DLPB Format-Sewing-E1_Style Change Over YC-7H  16~21 Aprl, 2013" xfId="3819" xr:uid="{00000000-0005-0000-0000-0000EA0E0000}"/>
    <cellStyle name="_YO DLPB Format-Sewing-E1_Style Change Over YC-8J 11~16 Feb 2012" xfId="3820" xr:uid="{00000000-0005-0000-0000-0000EB0E0000}"/>
    <cellStyle name="_YO DLPB Format-Sewing-E1_Style Change Over YC-8J 24~28 Nov, 2012" xfId="3821" xr:uid="{00000000-0005-0000-0000-0000EC0E0000}"/>
    <cellStyle name="_YO DLPB Format-Sewing-E1_Style Change Over YCL- 8-(I+G1) 25~26 Jan 2012" xfId="3822" xr:uid="{00000000-0005-0000-0000-0000ED0E0000}"/>
    <cellStyle name="_YO DLPB Format-Sewing-E1_Style Change Over YCL- 8-(J) 11-14 February 2012" xfId="3823" xr:uid="{00000000-0005-0000-0000-0000EE0E0000}"/>
    <cellStyle name="_YO DLPB Format-Sewing-E1_Style Change Over YCL- 8-(J) 11-14 February 2012_After 5's" xfId="3824" xr:uid="{00000000-0005-0000-0000-0000EF0E0000}"/>
    <cellStyle name="_YO DLPB Format-Sewing-E1_Style Change Over YCL- 8-(J) 11-14 February 2012_Base Line Data YC-8(C)" xfId="3825" xr:uid="{00000000-0005-0000-0000-0000F00E0000}"/>
    <cellStyle name="_YO DLPB Format-Sewing-E1_Style Change Over YCL- 8-(J) 11-14 February 2012_Base line Data-YC-15(G)" xfId="3826" xr:uid="{00000000-0005-0000-0000-0000F10E0000}"/>
    <cellStyle name="_YO DLPB Format-Sewing-E1_Style Change Over YCL- 8-(J) 11-14 February 2012_Book1" xfId="3827" xr:uid="{00000000-0005-0000-0000-0000F20E0000}"/>
    <cellStyle name="_YO DLPB Format-Sewing-E1_Style Change Over YCL- 8-(J) 11-14 February 2012_Copy of SK Raw data of SKB in Yc-6-(C) 26~31Jan '20131" xfId="3828" xr:uid="{00000000-0005-0000-0000-0000F30E0000}"/>
    <cellStyle name="_YO DLPB Format-Sewing-E1_Style Change Over YCL- 8-(J) 11-14 February 2012_Critical poin" xfId="3829" xr:uid="{00000000-0005-0000-0000-0000F40E0000}"/>
    <cellStyle name="_YO DLPB Format-Sewing-E1_Style Change Over YCL- 8-(J) 11-14 February 2012_Critical poin1" xfId="3830" xr:uid="{00000000-0005-0000-0000-0000F50E0000}"/>
    <cellStyle name="_YO DLPB Format-Sewing-E1_Style Change Over YCL- 8-(J) 11-14 February 2012_Flow Chart YC-8(C) Before1" xfId="3831" xr:uid="{00000000-0005-0000-0000-0000F60E0000}"/>
    <cellStyle name="_YO DLPB Format-Sewing-E1_Style Change Over YCL- 8-(J) 11-14 February 2012_OCT Graph A1" xfId="3832" xr:uid="{00000000-0005-0000-0000-0000F70E0000}"/>
    <cellStyle name="_YO DLPB Format-Sewing-E1_Style Change Over YCL- 8-(J) 11-14 February 2012_peroto Chart YC-8" xfId="3833" xr:uid="{00000000-0005-0000-0000-0000F80E0000}"/>
    <cellStyle name="_YO DLPB Format-Sewing-E1_Style Change Over YCL- 8-(J) 11-14 February 2012_SK Raw data of SKB in Yc-8-(J) 01~05 Dec'2012" xfId="3834" xr:uid="{00000000-0005-0000-0000-0000F90E0000}"/>
    <cellStyle name="_YO DLPB Format-Sewing-E1_Style Change Over YCL- 8-(J) 11-14 February 2012_SK Raw data of SKB in Yc-8-(J) 01~05 Dec'2012_Base line Data-YC-15(G)" xfId="3835" xr:uid="{00000000-0005-0000-0000-0000FA0E0000}"/>
    <cellStyle name="_YO DLPB Format-Sewing-E1_Style Change Over YCL- 8-(J) 11-14 February 2012_SK Raw data of SKB in Yc-8-(J) 01~05 Dec'2012_Book1" xfId="3836" xr:uid="{00000000-0005-0000-0000-0000FB0E0000}"/>
    <cellStyle name="_YO DLPB Format-Sewing-E1_Style Change Over YCL- 8-(J) 11-14 February 2012_SK Raw data of SKB in Yc-8-(J) 01~05 Dec'2012_Style Changeover Data Information-" xfId="3837" xr:uid="{00000000-0005-0000-0000-0000FC0E0000}"/>
    <cellStyle name="_YO DLPB Format-Sewing-E1_Style Change Over YCL- 8-(J) 11-14 February 2012_SK Raw data of SKB in Yc-8-(J) 01~05 Dec'2012_Style Changeover Data Information-YCL13C" xfId="3838" xr:uid="{00000000-0005-0000-0000-0000FD0E0000}"/>
    <cellStyle name="_YO DLPB Format-Sewing-E1_Style Change Over YCL- 8-(J) 11-14 February 2012_SKB RAW DATA" xfId="3839" xr:uid="{00000000-0005-0000-0000-0000FE0E0000}"/>
    <cellStyle name="_YO DLPB Format-Sewing-E1_Style Change Over YCL- 8-(J) 11-14 February 2012_SKB YC-8(J)" xfId="3840" xr:uid="{00000000-0005-0000-0000-0000FF0E0000}"/>
    <cellStyle name="_YO DLPB Format-Sewing-E1_Style Change Over YCL- 8-(J) 11-14 February 2012_SKB(Sewing Kaizen - YCL 14 (A)" xfId="3841" xr:uid="{00000000-0005-0000-0000-0000000F0000}"/>
    <cellStyle name="_YO DLPB Format-Sewing-E1_Style Change Over YCL- 8-(J) 11-14 February 2012_SQDC Board format (revised)-2013" xfId="3842" xr:uid="{00000000-0005-0000-0000-0000010F0000}"/>
    <cellStyle name="_YO DLPB Format-Sewing-E1_Style Change Over YCL- 8-(J) 11-14 February 2012_Style Change Over YC-7H  16~21 Aprl, 2013" xfId="3843" xr:uid="{00000000-0005-0000-0000-0000020F0000}"/>
    <cellStyle name="_YO DLPB Format-Sewing-E1_Style Change Over YCL- 8-(J) 11-14 February 2012_Style Change Over YC-7H  16~21 Aprl, 2013_Base line Data-YC-15(G)" xfId="3844" xr:uid="{00000000-0005-0000-0000-0000030F0000}"/>
    <cellStyle name="_YO DLPB Format-Sewing-E1_Style Change Over YCL- 8-(J) 11-14 February 2012_Style Change Over YC-7H  16~21 Aprl, 2013_Book1" xfId="3845" xr:uid="{00000000-0005-0000-0000-0000040F0000}"/>
    <cellStyle name="_YO DLPB Format-Sewing-E1_Style Change Over YCL- 8-(J) 11-14 February 2012_Style Change Over YC-7H  16~21 Aprl, 2013_Style Changeover Data Information-" xfId="3846" xr:uid="{00000000-0005-0000-0000-0000050F0000}"/>
    <cellStyle name="_YO DLPB Format-Sewing-E1_Style Change Over YCL- 8-(J) 11-14 February 2012_Style Change Over YC-7H  16~21 Aprl, 2013_Style Changeover Data Information-YCL13C" xfId="3847" xr:uid="{00000000-0005-0000-0000-0000060F0000}"/>
    <cellStyle name="_YO DLPB Format-Sewing-E1_Style Change Over YCL- 8-(J) 11-14 February 2012_Style Change Over YC-9 (I)  28~02 May, 2013" xfId="3848" xr:uid="{00000000-0005-0000-0000-0000070F0000}"/>
    <cellStyle name="_YO DLPB Format-Sewing-E1_Style Change Over YCL- 8-(J) 11-14 February 2012_Style Change Over YC-9 (I)  28~02 May, 2013_Base line Data-YC-15(G)" xfId="3849" xr:uid="{00000000-0005-0000-0000-0000080F0000}"/>
    <cellStyle name="_YO DLPB Format-Sewing-E1_Style Change Over YCL- 8-(J) 11-14 February 2012_Style Change Over YC-9 (I)  28~02 May, 2013_Book1" xfId="3850" xr:uid="{00000000-0005-0000-0000-0000090F0000}"/>
    <cellStyle name="_YO DLPB Format-Sewing-E1_Style Change Over YCL- 8-(J) 11-14 February 2012_Style Change Over YC-9 (I)  28~02 May, 2013_Style Changeover Data Information-" xfId="3851" xr:uid="{00000000-0005-0000-0000-00000A0F0000}"/>
    <cellStyle name="_YO DLPB Format-Sewing-E1_Style Change Over YCL- 8-(J) 11-14 February 2012_Style Change Over YC-9 (I)  28~02 May, 2013_Style Changeover Data Information-YCL13C" xfId="3852" xr:uid="{00000000-0005-0000-0000-00000B0F0000}"/>
    <cellStyle name="_YO DLPB Format-Sewing-E1_Style Change Over YCL- 8-(J) 11-14 February 2012_Style Changeover Data Information-" xfId="3853" xr:uid="{00000000-0005-0000-0000-00000C0F0000}"/>
    <cellStyle name="_YO DLPB Format-Sewing-E1_Style Change Over YCL- 8-(J) 11-14 February 2012_Xl0000034" xfId="3854" xr:uid="{00000000-0005-0000-0000-00000D0F0000}"/>
    <cellStyle name="_YO DLPB Format-Sewing-E1_Style Changeover Data Information-" xfId="3855" xr:uid="{00000000-0005-0000-0000-00000E0F0000}"/>
    <cellStyle name="_YO DLPB Format-Sewing-E1_Xl0000034" xfId="3856" xr:uid="{00000000-0005-0000-0000-00000F0F0000}"/>
    <cellStyle name="_YO DLPB Format-Sewing-E1_YC-8 (I+G2) Raw data" xfId="3857" xr:uid="{00000000-0005-0000-0000-0000100F0000}"/>
    <cellStyle name="_YO DLPB Format-Sewing-E1_YC-8-I+G1  29-04-2012" xfId="3858" xr:uid="{00000000-0005-0000-0000-0000110F0000}"/>
    <cellStyle name="_YO DLPB Format-Sewing-E1_YC-8-I+G2  30-05-2012" xfId="3859" xr:uid="{00000000-0005-0000-0000-0000120F0000}"/>
    <cellStyle name="_YO DLPB Format-Sewing-E1_Yc-9E" xfId="3860" xr:uid="{00000000-0005-0000-0000-0000130F0000}"/>
    <cellStyle name="_YO DLPB Format-Sewing-E1_Yc-9E_Style Change Over YC-7H  16~21 Aprl, 2013" xfId="3861" xr:uid="{00000000-0005-0000-0000-0000140F0000}"/>
    <cellStyle name="_YO DLPB Format-Sewing-E1_Yc-9E_Style Change Over YC-7H  16~21 Aprl, 2013_Base line Data-YC-15(G)" xfId="3862" xr:uid="{00000000-0005-0000-0000-0000150F0000}"/>
    <cellStyle name="_YO DLPB Format-Sewing-E1_Yc-9E_Style Change Over YC-7H  16~21 Aprl, 2013_Book1" xfId="3863" xr:uid="{00000000-0005-0000-0000-0000160F0000}"/>
    <cellStyle name="_YO DLPB Format-Sewing-E1_Yc-9E_Style Change Over YC-7H  16~21 Aprl, 2013_Style Changeover Data Information-" xfId="3864" xr:uid="{00000000-0005-0000-0000-0000170F0000}"/>
    <cellStyle name="_YO DLPB Format-Sewing-E1_Yc-9E_Style Change Over YC-7H  16~21 Aprl, 2013_Style Changeover Data Information-YCL13C" xfId="3865" xr:uid="{00000000-0005-0000-0000-0000180F0000}"/>
    <cellStyle name="_YO DLPB Format-Sewing-E1_Yc-9E_Style Change Over YC-9 (I)  28~02 May, 2013" xfId="3866" xr:uid="{00000000-0005-0000-0000-0000190F0000}"/>
    <cellStyle name="_YO DLPB Format-Sewing-E1_Yc-9E_Style Change Over YC-9 (I)  28~02 May, 2013_Base line Data-YC-15(G)" xfId="3867" xr:uid="{00000000-0005-0000-0000-00001A0F0000}"/>
    <cellStyle name="_YO DLPB Format-Sewing-E1_Yc-9E_Style Change Over YC-9 (I)  28~02 May, 2013_Book1" xfId="3868" xr:uid="{00000000-0005-0000-0000-00001B0F0000}"/>
    <cellStyle name="_YO DLPB Format-Sewing-E1_Yc-9E_Style Change Over YC-9 (I)  28~02 May, 2013_Style Changeover Data Information-" xfId="3869" xr:uid="{00000000-0005-0000-0000-00001C0F0000}"/>
    <cellStyle name="_YO DLPB Format-Sewing-E1_Yc-9E_Style Change Over YC-9 (I)  28~02 May, 2013_Style Changeover Data Information-YCL13C" xfId="3870" xr:uid="{00000000-0005-0000-0000-00001D0F0000}"/>
    <cellStyle name="_YO DLPB Format-Sewing-E1_Yc-9E1" xfId="3871" xr:uid="{00000000-0005-0000-0000-00001E0F0000}"/>
    <cellStyle name="_YO DLPB Format-Sewing-E1_Yc-9E1_Style Change Over YC-7H  16~21 Aprl, 2013" xfId="3872" xr:uid="{00000000-0005-0000-0000-00001F0F0000}"/>
    <cellStyle name="_YO DLPB Format-Sewing-E1_Yc-9E1_Style Change Over YC-7H  16~21 Aprl, 2013_Base line Data-YC-15(G)" xfId="3873" xr:uid="{00000000-0005-0000-0000-0000200F0000}"/>
    <cellStyle name="_YO DLPB Format-Sewing-E1_Yc-9E1_Style Change Over YC-7H  16~21 Aprl, 2013_Book1" xfId="3874" xr:uid="{00000000-0005-0000-0000-0000210F0000}"/>
    <cellStyle name="_YO DLPB Format-Sewing-E1_Yc-9E1_Style Change Over YC-7H  16~21 Aprl, 2013_Style Changeover Data Information-" xfId="3875" xr:uid="{00000000-0005-0000-0000-0000220F0000}"/>
    <cellStyle name="_YO DLPB Format-Sewing-E1_Yc-9E1_Style Change Over YC-7H  16~21 Aprl, 2013_Style Changeover Data Information-YCL13C" xfId="3876" xr:uid="{00000000-0005-0000-0000-0000230F0000}"/>
    <cellStyle name="_YO DLPB Format-Sewing-E1_Yc-9E1_Style Change Over YC-9 (I)  28~02 May, 2013" xfId="3877" xr:uid="{00000000-0005-0000-0000-0000240F0000}"/>
    <cellStyle name="_YO DLPB Format-Sewing-E1_Yc-9E1_Style Change Over YC-9 (I)  28~02 May, 2013_Base line Data-YC-15(G)" xfId="3878" xr:uid="{00000000-0005-0000-0000-0000250F0000}"/>
    <cellStyle name="_YO DLPB Format-Sewing-E1_Yc-9E1_Style Change Over YC-9 (I)  28~02 May, 2013_Book1" xfId="3879" xr:uid="{00000000-0005-0000-0000-0000260F0000}"/>
    <cellStyle name="_YO DLPB Format-Sewing-E1_Yc-9E1_Style Change Over YC-9 (I)  28~02 May, 2013_Style Changeover Data Information-" xfId="3880" xr:uid="{00000000-0005-0000-0000-0000270F0000}"/>
    <cellStyle name="_YO DLPB Format-Sewing-E1_Yc-9E1_Style Change Over YC-9 (I)  28~02 May, 2013_Style Changeover Data Information-YCL13C" xfId="3881" xr:uid="{00000000-0005-0000-0000-0000280F0000}"/>
    <cellStyle name="_YO DLPB Format-Sewing-E1_YCL2012_003I_SKB Presentation_YCL 8-I+G2(Changeover)_24~29 Aprl,2012 (version 1)" xfId="3882" xr:uid="{00000000-0005-0000-0000-0000290F0000}"/>
    <cellStyle name="_YO DLPB Format-Sewing-E1_YCL2012-010I-SKB Presentation_YCL 8(H+G1_Changeover_12~18 April, 2012" xfId="3883" xr:uid="{00000000-0005-0000-0000-00002A0F0000}"/>
    <cellStyle name="_YO DLPB Format-Sewing-E1_YCL2012-010I-SKB Presentation_YCL 8(H+G1_Changeover_12~18 April, 2012_Base Line Data YC-8(C)" xfId="3884" xr:uid="{00000000-0005-0000-0000-00002B0F0000}"/>
    <cellStyle name="_YO DLPB Format-Sewing-E1_YCL2012-010I-SKB Presentation_YCL 8(H+G1_Changeover_12~18 April, 2012_Base line Data-YC-15(G)" xfId="3885" xr:uid="{00000000-0005-0000-0000-00002C0F0000}"/>
    <cellStyle name="_YO DLPB Format-Sewing-E1_YCL2012-010I-SKB Presentation_YCL 8(H+G1_Changeover_12~18 April, 2012_Book1" xfId="3886" xr:uid="{00000000-0005-0000-0000-00002D0F0000}"/>
    <cellStyle name="_YO DLPB Format-Sewing-E1_YCL2012-010I-SKB Presentation_YCL 8(H+G1_Changeover_12~18 April, 2012_Copy of SK Raw data of SKB in Yc-6-(C) 26~31Jan '20131" xfId="3887" xr:uid="{00000000-0005-0000-0000-00002E0F0000}"/>
    <cellStyle name="_YO DLPB Format-Sewing-E1_YCL2012-010I-SKB Presentation_YCL 8(H+G1_Changeover_12~18 April, 2012_Flow Chart YC-8(C) Before1" xfId="3888" xr:uid="{00000000-0005-0000-0000-00002F0F0000}"/>
    <cellStyle name="_YO DLPB Format-Sewing-E1_YCL2012-010I-SKB Presentation_YCL 8(H+G1_Changeover_12~18 April, 2012_OCT Graph A1" xfId="3889" xr:uid="{00000000-0005-0000-0000-0000300F0000}"/>
    <cellStyle name="_YO DLPB Format-Sewing-E1_YCL2012-010I-SKB Presentation_YCL 8(H+G1_Changeover_12~18 April, 2012_SK Raw data of SKB in Yc-8-(J) 01~05 Dec'2012" xfId="3890" xr:uid="{00000000-0005-0000-0000-0000310F0000}"/>
    <cellStyle name="_YO DLPB Format-Sewing-E1_YCL2012-010I-SKB Presentation_YCL 8(H+G1_Changeover_12~18 April, 2012_SK Raw data of SKB in Yc-8-(J) 01~05 Dec'2012_Base line Data-YC-15(G)" xfId="3891" xr:uid="{00000000-0005-0000-0000-0000320F0000}"/>
    <cellStyle name="_YO DLPB Format-Sewing-E1_YCL2012-010I-SKB Presentation_YCL 8(H+G1_Changeover_12~18 April, 2012_SK Raw data of SKB in Yc-8-(J) 01~05 Dec'2012_Book1" xfId="3892" xr:uid="{00000000-0005-0000-0000-0000330F0000}"/>
    <cellStyle name="_YO DLPB Format-Sewing-E1_YCL2012-010I-SKB Presentation_YCL 8(H+G1_Changeover_12~18 April, 2012_SK Raw data of SKB in Yc-8-(J) 01~05 Dec'2012_Style Changeover Data Information-" xfId="3893" xr:uid="{00000000-0005-0000-0000-0000340F0000}"/>
    <cellStyle name="_YO DLPB Format-Sewing-E1_YCL2012-010I-SKB Presentation_YCL 8(H+G1_Changeover_12~18 April, 2012_SK Raw data of SKB in Yc-8-(J) 01~05 Dec'2012_Style Changeover Data Information-YCL13C" xfId="3894" xr:uid="{00000000-0005-0000-0000-0000350F0000}"/>
    <cellStyle name="_YO DLPB Format-Sewing-E1_YCL2012-010I-SKB Presentation_YCL 8(H+G1_Changeover_12~18 April, 2012_SKB RAW DATA" xfId="3895" xr:uid="{00000000-0005-0000-0000-0000360F0000}"/>
    <cellStyle name="_YO DLPB Format-Sewing-E1_YCL2012-010I-SKB Presentation_YCL 8(H+G1_Changeover_12~18 April, 2012_SKB YC-8(J)" xfId="3896" xr:uid="{00000000-0005-0000-0000-0000370F0000}"/>
    <cellStyle name="_YO DLPB Format-Sewing-E1_YCL2012-010I-SKB Presentation_YCL 8(H+G1_Changeover_12~18 April, 2012_SKB(Sewing Kaizen - YCL 14 (A)" xfId="3897" xr:uid="{00000000-0005-0000-0000-0000380F0000}"/>
    <cellStyle name="_YO DLPB Format-Sewing-E1_YCL2012-010I-SKB Presentation_YCL 8(H+G1_Changeover_12~18 April, 2012_SQDC Board format (revised)-2013" xfId="3898" xr:uid="{00000000-0005-0000-0000-0000390F0000}"/>
    <cellStyle name="_YO DLPB Format-Sewing-E1_YCL2012-010I-SKB Presentation_YCL 8(H+G1_Changeover_12~18 April, 2012_Style Changeover Data Information-" xfId="3899" xr:uid="{00000000-0005-0000-0000-00003A0F0000}"/>
    <cellStyle name="_YO DLPB Format-Sewing-E1_YCL2012-010I-SKB Presentation_YCL 8(H+G1_Changeover_12~18 April, 2012_Xl0000034" xfId="3900" xr:uid="{00000000-0005-0000-0000-00003B0F0000}"/>
    <cellStyle name="_YO DLPB Format-Sewing-E1_Ycl-6C" xfId="3901" xr:uid="{00000000-0005-0000-0000-00003C0F0000}"/>
    <cellStyle name="_YO DLPB Format-Sewing-E1_Ycl-7H" xfId="3902" xr:uid="{00000000-0005-0000-0000-00003D0F0000}"/>
    <cellStyle name="_YO DLPB Format-Sewing-E1_Ycl-7H_Base line Data-YC-15(G)" xfId="3903" xr:uid="{00000000-0005-0000-0000-00003E0F0000}"/>
    <cellStyle name="_YO DLPB Format-Sewing-E1_Ycl-7H_Book1" xfId="3904" xr:uid="{00000000-0005-0000-0000-00003F0F0000}"/>
    <cellStyle name="_YO DLPB Format-Sewing-E1_Ycl-7H_Style Changeover Data Information-" xfId="3905" xr:uid="{00000000-0005-0000-0000-0000400F0000}"/>
    <cellStyle name="_YO DLPB Format-Sewing-E1_Ycl-7H_Style Changeover Data Information-YCL13C" xfId="3906" xr:uid="{00000000-0005-0000-0000-0000410F0000}"/>
    <cellStyle name="_YO DLPB Format-Sewing-E1_YCL-8-G+1 31-01-2012" xfId="3907" xr:uid="{00000000-0005-0000-0000-0000420F0000}"/>
    <cellStyle name="_YO DLPB Format-Sewing-E1_YCL-8-G+1 31-01-2012_After 5's" xfId="3908" xr:uid="{00000000-0005-0000-0000-0000430F0000}"/>
    <cellStyle name="_YO DLPB Format-Sewing-E1_YCL-8-G+1 31-01-2012_Base Line Data YC-8(C)" xfId="3909" xr:uid="{00000000-0005-0000-0000-0000440F0000}"/>
    <cellStyle name="_YO DLPB Format-Sewing-E1_YCL-8-G+1 31-01-2012_Base line Data-YC-15(G)" xfId="3910" xr:uid="{00000000-0005-0000-0000-0000450F0000}"/>
    <cellStyle name="_YO DLPB Format-Sewing-E1_YCL-8-G+1 31-01-2012_Book1" xfId="3911" xr:uid="{00000000-0005-0000-0000-0000460F0000}"/>
    <cellStyle name="_YO DLPB Format-Sewing-E1_YCL-8-G+1 31-01-2012_Copy of SK Raw data of SKB in Yc-6-(C) 26~31Jan '20131" xfId="3912" xr:uid="{00000000-0005-0000-0000-0000470F0000}"/>
    <cellStyle name="_YO DLPB Format-Sewing-E1_YCL-8-G+1 31-01-2012_Critical poin" xfId="3913" xr:uid="{00000000-0005-0000-0000-0000480F0000}"/>
    <cellStyle name="_YO DLPB Format-Sewing-E1_YCL-8-G+1 31-01-2012_Critical poin1" xfId="3914" xr:uid="{00000000-0005-0000-0000-0000490F0000}"/>
    <cellStyle name="_YO DLPB Format-Sewing-E1_YCL-8-G+1 31-01-2012_Flow Chart YC-8(C) Before1" xfId="3915" xr:uid="{00000000-0005-0000-0000-00004A0F0000}"/>
    <cellStyle name="_YO DLPB Format-Sewing-E1_YCL-8-G+1 31-01-2012_OCT Graph A1" xfId="3916" xr:uid="{00000000-0005-0000-0000-00004B0F0000}"/>
    <cellStyle name="_YO DLPB Format-Sewing-E1_YCL-8-G+1 31-01-2012_peroto Chart YC-8" xfId="3917" xr:uid="{00000000-0005-0000-0000-00004C0F0000}"/>
    <cellStyle name="_YO DLPB Format-Sewing-E1_YCL-8-G+1 31-01-2012_SK Raw data of SKB in Yc-8-(J) 01~05 Dec'2012" xfId="3918" xr:uid="{00000000-0005-0000-0000-00004D0F0000}"/>
    <cellStyle name="_YO DLPB Format-Sewing-E1_YCL-8-G+1 31-01-2012_SK Raw data of SKB in Yc-8-(J) 01~05 Dec'2012_Base line Data-YC-15(G)" xfId="3919" xr:uid="{00000000-0005-0000-0000-00004E0F0000}"/>
    <cellStyle name="_YO DLPB Format-Sewing-E1_YCL-8-G+1 31-01-2012_SK Raw data of SKB in Yc-8-(J) 01~05 Dec'2012_Book1" xfId="3920" xr:uid="{00000000-0005-0000-0000-00004F0F0000}"/>
    <cellStyle name="_YO DLPB Format-Sewing-E1_YCL-8-G+1 31-01-2012_SK Raw data of SKB in Yc-8-(J) 01~05 Dec'2012_Style Changeover Data Information-" xfId="3921" xr:uid="{00000000-0005-0000-0000-0000500F0000}"/>
    <cellStyle name="_YO DLPB Format-Sewing-E1_YCL-8-G+1 31-01-2012_SK Raw data of SKB in Yc-8-(J) 01~05 Dec'2012_Style Changeover Data Information-YCL13C" xfId="3922" xr:uid="{00000000-0005-0000-0000-0000510F0000}"/>
    <cellStyle name="_YO DLPB Format-Sewing-E1_YCL-8-G+1 31-01-2012_SKB RAW DATA" xfId="3923" xr:uid="{00000000-0005-0000-0000-0000520F0000}"/>
    <cellStyle name="_YO DLPB Format-Sewing-E1_YCL-8-G+1 31-01-2012_SKB YC-8(J)" xfId="3924" xr:uid="{00000000-0005-0000-0000-0000530F0000}"/>
    <cellStyle name="_YO DLPB Format-Sewing-E1_YCL-8-G+1 31-01-2012_SKB(Sewing Kaizen - YCL 14 (A)" xfId="3925" xr:uid="{00000000-0005-0000-0000-0000540F0000}"/>
    <cellStyle name="_YO DLPB Format-Sewing-E1_YCL-8-G+1 31-01-2012_SQDC Board format (revised)-2013" xfId="3926" xr:uid="{00000000-0005-0000-0000-0000550F0000}"/>
    <cellStyle name="_YO DLPB Format-Sewing-E1_YCL-8-G+1 31-01-2012_Style Change Over YC-7H  16~21 Aprl, 2013" xfId="3927" xr:uid="{00000000-0005-0000-0000-0000560F0000}"/>
    <cellStyle name="_YO DLPB Format-Sewing-E1_YCL-8-G+1 31-01-2012_Style Change Over YC-7H  16~21 Aprl, 2013_Base line Data-YC-15(G)" xfId="3928" xr:uid="{00000000-0005-0000-0000-0000570F0000}"/>
    <cellStyle name="_YO DLPB Format-Sewing-E1_YCL-8-G+1 31-01-2012_Style Change Over YC-7H  16~21 Aprl, 2013_Book1" xfId="3929" xr:uid="{00000000-0005-0000-0000-0000580F0000}"/>
    <cellStyle name="_YO DLPB Format-Sewing-E1_YCL-8-G+1 31-01-2012_Style Change Over YC-7H  16~21 Aprl, 2013_Style Changeover Data Information-" xfId="3930" xr:uid="{00000000-0005-0000-0000-0000590F0000}"/>
    <cellStyle name="_YO DLPB Format-Sewing-E1_YCL-8-G+1 31-01-2012_Style Change Over YC-7H  16~21 Aprl, 2013_Style Changeover Data Information-YCL13C" xfId="3931" xr:uid="{00000000-0005-0000-0000-00005A0F0000}"/>
    <cellStyle name="_YO DLPB Format-Sewing-E1_YCL-8-G+1 31-01-2012_Style Change Over YC-9 (I)  28~02 May, 2013" xfId="3932" xr:uid="{00000000-0005-0000-0000-00005B0F0000}"/>
    <cellStyle name="_YO DLPB Format-Sewing-E1_YCL-8-G+1 31-01-2012_Style Change Over YC-9 (I)  28~02 May, 2013_Base line Data-YC-15(G)" xfId="3933" xr:uid="{00000000-0005-0000-0000-00005C0F0000}"/>
    <cellStyle name="_YO DLPB Format-Sewing-E1_YCL-8-G+1 31-01-2012_Style Change Over YC-9 (I)  28~02 May, 2013_Book1" xfId="3934" xr:uid="{00000000-0005-0000-0000-00005D0F0000}"/>
    <cellStyle name="_YO DLPB Format-Sewing-E1_YCL-8-G+1 31-01-2012_Style Change Over YC-9 (I)  28~02 May, 2013_Style Changeover Data Information-" xfId="3935" xr:uid="{00000000-0005-0000-0000-00005E0F0000}"/>
    <cellStyle name="_YO DLPB Format-Sewing-E1_YCL-8-G+1 31-01-2012_Style Change Over YC-9 (I)  28~02 May, 2013_Style Changeover Data Information-YCL13C" xfId="3936" xr:uid="{00000000-0005-0000-0000-00005F0F0000}"/>
    <cellStyle name="_YO DLPB Format-Sewing-E1_YCL-8-G+1 31-01-2012_Style Changeover Data Information-" xfId="3937" xr:uid="{00000000-0005-0000-0000-0000600F0000}"/>
    <cellStyle name="_YO DLPB Format-Sewing-E1_YCL-8-G+1 31-01-2012_Xl0000034" xfId="3938" xr:uid="{00000000-0005-0000-0000-0000610F0000}"/>
    <cellStyle name="_Ysl Fac Weekly Status (10 th April to 16th April) ' 10" xfId="3939" xr:uid="{00000000-0005-0000-0000-0000620F0000}"/>
    <cellStyle name="_Ysl Fac Weekly Status (10 th April to 16th April) ' 10_27- JULY- 01 AUG" xfId="3940" xr:uid="{00000000-0005-0000-0000-0000630F0000}"/>
    <cellStyle name="_Ysl Fac Weekly Status (10 th April to 16th April) ' 10_April'01-04-2013" xfId="3941" xr:uid="{00000000-0005-0000-0000-0000640F0000}"/>
    <cellStyle name="_Ysl Fac Weekly Status (10 th April to 16th April) ' 10_aPRIL-29-02 mAY" xfId="3942" xr:uid="{00000000-0005-0000-0000-0000650F0000}"/>
    <cellStyle name="_Ysl Fac Weekly Status (10 th April to 16th April) ' 10_August '01-08-2013" xfId="3943" xr:uid="{00000000-0005-0000-0000-0000660F0000}"/>
    <cellStyle name="_Ysl Fac Weekly Status (10 th April to 16th April) ' 10_BD All Fac Weekly Eff% Status (11th Aug to 17th Aug) ' 12" xfId="3944" xr:uid="{00000000-0005-0000-0000-0000670F0000}"/>
    <cellStyle name="_Ysl Fac Weekly Status (10 th April to 16th April) ' 10_BD All Fac Weekly Eff% Status (14th July to 20th July) ' 12" xfId="3945" xr:uid="{00000000-0005-0000-0000-0000680F0000}"/>
    <cellStyle name="_Ysl Fac Weekly Status (10 th April to 16th April) ' 10_BD All Fac Weekly Eff% Status (22nd Sep to 28th Sep) ' 12" xfId="3946" xr:uid="{00000000-0005-0000-0000-0000690F0000}"/>
    <cellStyle name="_Ysl Fac Weekly Status (10 th April to 16th April) ' 10_BD All Fac Weekly Eff% Status (2nd June to 8th June) ' 12" xfId="3947" xr:uid="{00000000-0005-0000-0000-00006A0F0000}"/>
    <cellStyle name="_Ysl Fac Weekly Status (10 th April to 16th April) ' 10_BD All Fac Weekly Eff% Status (30th Mar -5th Apr) ' 13" xfId="3948" xr:uid="{00000000-0005-0000-0000-00006B0F0000}"/>
    <cellStyle name="_Ysl Fac Weekly Status (10 th April to 16th April) ' 10_BD All Fac Weekly Eff% Status (3rd Nov to 9th Nov) ' 12" xfId="3949" xr:uid="{00000000-0005-0000-0000-00006C0F0000}"/>
    <cellStyle name="_Ysl Fac Weekly Status (10 th April to 16th April) ' 10_BD All Fac Weekly Eff% Status (6th Oct to 12th Oct) ' 12" xfId="3950" xr:uid="{00000000-0005-0000-0000-00006D0F0000}"/>
    <cellStyle name="_Ysl Fac Weekly Status (10 th April to 16th April) ' 10_December'01-12-201213 Anima" xfId="3951" xr:uid="{00000000-0005-0000-0000-00006E0F0000}"/>
    <cellStyle name="_Ysl Fac Weekly Status (10 th April to 16th April) ' 10_February'01-02-2013" xfId="3952" xr:uid="{00000000-0005-0000-0000-00006F0F0000}"/>
    <cellStyle name="_Ysl Fac Weekly Status (10 th April to 16th April) ' 10_January'01-01-2013" xfId="3953" xr:uid="{00000000-0005-0000-0000-0000700F0000}"/>
    <cellStyle name="_Ysl Fac Weekly Status (10 th April to 16th April) ' 10_JULY '01-07-2013" xfId="3954" xr:uid="{00000000-0005-0000-0000-0000710F0000}"/>
    <cellStyle name="_Ysl Fac Weekly Status (10 th April to 16th April) ' 10_JUNE '01-06-2013" xfId="3955" xr:uid="{00000000-0005-0000-0000-0000720F0000}"/>
    <cellStyle name="_Ysl Fac Weekly Status (10 th April to 16th April) ' 10_JUNE '29-04 JULY" xfId="3956" xr:uid="{00000000-0005-0000-0000-0000730F0000}"/>
    <cellStyle name="_Ysl Fac Weekly Status (10 th April to 16th April) ' 10_March'" xfId="3957" xr:uid="{00000000-0005-0000-0000-0000740F0000}"/>
    <cellStyle name="_Ysl Fac Weekly Status (10 th April to 16th April) ' 10_March'01-02-2013" xfId="3958" xr:uid="{00000000-0005-0000-0000-0000750F0000}"/>
    <cellStyle name="_Ysl Fac Weekly Status (10 th April to 16th April) ' 10_May '01-05-2013" xfId="3959" xr:uid="{00000000-0005-0000-0000-0000760F0000}"/>
    <cellStyle name="_Ysl Fac Weekly Status (10 th April to 16th April) ' 10_New Format December-2012" xfId="3960" xr:uid="{00000000-0005-0000-0000-0000770F0000}"/>
    <cellStyle name="_Ysl Fac Weekly Status (10 th April to 16th April) ' 10_New Format Feb-2013" xfId="3961" xr:uid="{00000000-0005-0000-0000-0000780F0000}"/>
    <cellStyle name="_Ysl Fac Weekly Status (10 th April to 16th April) ' 10_New Format February-2013" xfId="3962" xr:uid="{00000000-0005-0000-0000-0000790F0000}"/>
    <cellStyle name="_Ysl Fac Weekly Status (10 th April to 16th April) ' 10_New Format November-2012" xfId="3963" xr:uid="{00000000-0005-0000-0000-00007A0F0000}"/>
    <cellStyle name="_Ysl Fac Weekly Status (10 th April to 16th April) ' 10_October '01-10-2013" xfId="3964" xr:uid="{00000000-0005-0000-0000-00007B0F0000}"/>
    <cellStyle name="_Ysl Fac Weekly Status (10 th April to 16th April) ' 10_Sep-oct" xfId="3965" xr:uid="{00000000-0005-0000-0000-00007C0F0000}"/>
    <cellStyle name="_Ysl Fac Weekly Status (10 th April to 16th April) ' 10_September '01-09-2013" xfId="3966" xr:uid="{00000000-0005-0000-0000-00007D0F0000}"/>
    <cellStyle name="_Ysl Fac Weekly Status (10 th April to 16th April) ' 10_Weekly prdn" xfId="3967" xr:uid="{00000000-0005-0000-0000-00007E0F0000}"/>
    <cellStyle name="_Ysl Fac Weekly Status (10 th April to 16th April) ' 10_Weekly Status" xfId="3968" xr:uid="{00000000-0005-0000-0000-00007F0F0000}"/>
    <cellStyle name="_Ysl Fac Weekly Status (10 th April to 16th April) ' 10_Ysl Weekly Status-201228" xfId="3969" xr:uid="{00000000-0005-0000-0000-0000800F0000}"/>
    <cellStyle name="_Ysl Fac Weekly Status (10 th April to 16th April) ' 10_Ysl Weekly Status-201229" xfId="3970" xr:uid="{00000000-0005-0000-0000-0000810F0000}"/>
    <cellStyle name="_Ysl Fac Weekly Status (10 th April to 16th April) ' 10_Ysl Weekly Status-201230" xfId="3971" xr:uid="{00000000-0005-0000-0000-0000820F0000}"/>
    <cellStyle name="_Ysl Fac Weekly Status (10 th April to 16th April) ' 10_Ysl Weekly Status-201231" xfId="3972" xr:uid="{00000000-0005-0000-0000-0000830F0000}"/>
    <cellStyle name="_Ysl Fac Weekly Status (10 th April to 16th April) ' 10_Ysl Weekly Status-201233" xfId="3973" xr:uid="{00000000-0005-0000-0000-0000840F0000}"/>
    <cellStyle name="_Ysl Fac Weekly Status (10 th April to 16th April) ' 10_Ysl Weekly Status-201234" xfId="3974" xr:uid="{00000000-0005-0000-0000-0000850F0000}"/>
    <cellStyle name="_Ysl Fac Weekly Status (10 th April to 16th April) ' 10_Ysl Weekly Status-201235" xfId="3975" xr:uid="{00000000-0005-0000-0000-0000860F0000}"/>
    <cellStyle name="_Ysl Fac Weekly Status (10 th April to 16th April) ' 10_Ysl Weekly Status-201236" xfId="3976" xr:uid="{00000000-0005-0000-0000-0000870F0000}"/>
    <cellStyle name="_Ysl Fac Weekly Status (10 th April to 16th April) ' 10_Ysl Weekly Status-201237" xfId="3977" xr:uid="{00000000-0005-0000-0000-0000880F0000}"/>
    <cellStyle name="_Ysl Fac Weekly Status (10 th April to 16th April) ' 10_Ysl Weekly Status-201238" xfId="3978" xr:uid="{00000000-0005-0000-0000-0000890F0000}"/>
    <cellStyle name="_Ysl Fac Weekly Status (10 th April to 16th April) ' 10_Ysl Weekly Status-201239" xfId="3979" xr:uid="{00000000-0005-0000-0000-00008A0F0000}"/>
    <cellStyle name="_Ysl Fac Weekly Status (10 th April to 16th April) ' 10_Ysl Weekly Status-201240" xfId="3980" xr:uid="{00000000-0005-0000-0000-00008B0F0000}"/>
    <cellStyle name="_Ysl Fac Weekly Status (10 th April to 16th April) ' 10_Ysl Weekly Status-201241" xfId="3981" xr:uid="{00000000-0005-0000-0000-00008C0F0000}"/>
    <cellStyle name="_Ysl Fac Weekly Status (10 th April to 16th April) ' 10_Ysl Weekly Status-2013" xfId="3982" xr:uid="{00000000-0005-0000-0000-00008D0F0000}"/>
    <cellStyle name="_Ysl Fac Weekly Status (10 th April to 16th April) ' 10_Ysl Weekly Status-20131" xfId="3983" xr:uid="{00000000-0005-0000-0000-00008E0F0000}"/>
    <cellStyle name="_Ysl Fac Weekly Status (10 th April to 16th April) ' 10_Ysl Weekly Status-20132" xfId="3984" xr:uid="{00000000-0005-0000-0000-00008F0F0000}"/>
    <cellStyle name="_Ysl Fac Weekly Status (10 th April to 16th April) ' 10_Ysl Weekly Status-20133" xfId="3985" xr:uid="{00000000-0005-0000-0000-0000900F0000}"/>
    <cellStyle name="_Ysl Fac Weekly Status (10 th April to 16th April) ' 10_Ysl Weekly Status-20134" xfId="3986" xr:uid="{00000000-0005-0000-0000-0000910F0000}"/>
    <cellStyle name="_Ysl Weekly efficiency graph'09(Wor 2-)" xfId="3987" xr:uid="{00000000-0005-0000-0000-0000920F0000}"/>
    <cellStyle name="_Ysl Weekly efficiency graph'09(Wor 2-) 10" xfId="3988" xr:uid="{00000000-0005-0000-0000-0000930F0000}"/>
    <cellStyle name="_Ysl Weekly efficiency graph'09(Wor 2-) 11" xfId="3989" xr:uid="{00000000-0005-0000-0000-0000940F0000}"/>
    <cellStyle name="_Ysl Weekly efficiency graph'09(Wor 2-) 12" xfId="3990" xr:uid="{00000000-0005-0000-0000-0000950F0000}"/>
    <cellStyle name="_Ysl Weekly efficiency graph'09(Wor 2-) 13" xfId="3991" xr:uid="{00000000-0005-0000-0000-0000960F0000}"/>
    <cellStyle name="_Ysl Weekly efficiency graph'09(Wor 2-) 14" xfId="3992" xr:uid="{00000000-0005-0000-0000-0000970F0000}"/>
    <cellStyle name="_Ysl Weekly efficiency graph'09(Wor 2-) 15" xfId="3993" xr:uid="{00000000-0005-0000-0000-0000980F0000}"/>
    <cellStyle name="_Ysl Weekly efficiency graph'09(Wor 2-) 16" xfId="3994" xr:uid="{00000000-0005-0000-0000-0000990F0000}"/>
    <cellStyle name="_Ysl Weekly efficiency graph'09(Wor 2-) 17" xfId="3995" xr:uid="{00000000-0005-0000-0000-00009A0F0000}"/>
    <cellStyle name="_Ysl Weekly efficiency graph'09(Wor 2-) 18" xfId="3996" xr:uid="{00000000-0005-0000-0000-00009B0F0000}"/>
    <cellStyle name="_Ysl Weekly efficiency graph'09(Wor 2-) 19" xfId="3997" xr:uid="{00000000-0005-0000-0000-00009C0F0000}"/>
    <cellStyle name="_Ysl Weekly efficiency graph'09(Wor 2-) 2" xfId="3998" xr:uid="{00000000-0005-0000-0000-00009D0F0000}"/>
    <cellStyle name="_Ysl Weekly efficiency graph'09(Wor 2-) 20" xfId="3999" xr:uid="{00000000-0005-0000-0000-00009E0F0000}"/>
    <cellStyle name="_Ysl Weekly efficiency graph'09(Wor 2-) 21" xfId="4000" xr:uid="{00000000-0005-0000-0000-00009F0F0000}"/>
    <cellStyle name="_Ysl Weekly efficiency graph'09(Wor 2-) 22" xfId="4001" xr:uid="{00000000-0005-0000-0000-0000A00F0000}"/>
    <cellStyle name="_Ysl Weekly efficiency graph'09(Wor 2-) 23" xfId="4002" xr:uid="{00000000-0005-0000-0000-0000A10F0000}"/>
    <cellStyle name="_Ysl Weekly efficiency graph'09(Wor 2-) 24" xfId="4003" xr:uid="{00000000-0005-0000-0000-0000A20F0000}"/>
    <cellStyle name="_Ysl Weekly efficiency graph'09(Wor 2-) 25" xfId="4004" xr:uid="{00000000-0005-0000-0000-0000A30F0000}"/>
    <cellStyle name="_Ysl Weekly efficiency graph'09(Wor 2-) 26" xfId="4005" xr:uid="{00000000-0005-0000-0000-0000A40F0000}"/>
    <cellStyle name="_Ysl Weekly efficiency graph'09(Wor 2-) 27" xfId="4006" xr:uid="{00000000-0005-0000-0000-0000A50F0000}"/>
    <cellStyle name="_Ysl Weekly efficiency graph'09(Wor 2-) 28" xfId="4007" xr:uid="{00000000-0005-0000-0000-0000A60F0000}"/>
    <cellStyle name="_Ysl Weekly efficiency graph'09(Wor 2-) 29" xfId="4008" xr:uid="{00000000-0005-0000-0000-0000A70F0000}"/>
    <cellStyle name="_Ysl Weekly efficiency graph'09(Wor 2-) 3" xfId="4009" xr:uid="{00000000-0005-0000-0000-0000A80F0000}"/>
    <cellStyle name="_Ysl Weekly efficiency graph'09(Wor 2-) 30" xfId="4010" xr:uid="{00000000-0005-0000-0000-0000A90F0000}"/>
    <cellStyle name="_Ysl Weekly efficiency graph'09(Wor 2-) 31" xfId="4011" xr:uid="{00000000-0005-0000-0000-0000AA0F0000}"/>
    <cellStyle name="_Ysl Weekly efficiency graph'09(Wor 2-) 4" xfId="4012" xr:uid="{00000000-0005-0000-0000-0000AB0F0000}"/>
    <cellStyle name="_Ysl Weekly efficiency graph'09(Wor 2-) 5" xfId="4013" xr:uid="{00000000-0005-0000-0000-0000AC0F0000}"/>
    <cellStyle name="_Ysl Weekly efficiency graph'09(Wor 2-) 6" xfId="4014" xr:uid="{00000000-0005-0000-0000-0000AD0F0000}"/>
    <cellStyle name="_Ysl Weekly efficiency graph'09(Wor 2-) 7" xfId="4015" xr:uid="{00000000-0005-0000-0000-0000AE0F0000}"/>
    <cellStyle name="_Ysl Weekly efficiency graph'09(Wor 2-) 8" xfId="4016" xr:uid="{00000000-0005-0000-0000-0000AF0F0000}"/>
    <cellStyle name="_Ysl Weekly efficiency graph'09(Wor 2-) 9" xfId="4017" xr:uid="{00000000-0005-0000-0000-0000B00F0000}"/>
    <cellStyle name="_Ysl Weekly efficiency graph'10 (Wor 2-)" xfId="4018" xr:uid="{00000000-0005-0000-0000-0000B10F0000}"/>
    <cellStyle name="_Ysl Weekly efficiency graph'10 (Wor 2-) 2" xfId="4019" xr:uid="{00000000-0005-0000-0000-0000B20F0000}"/>
    <cellStyle name="_Ysl Weekly efficiency graph'10 (Wor 2-)1" xfId="4020" xr:uid="{00000000-0005-0000-0000-0000B30F0000}"/>
    <cellStyle name="_Ysl Weekly efficiency graph'10 (Wor 2-)1 2" xfId="4021" xr:uid="{00000000-0005-0000-0000-0000B40F0000}"/>
    <cellStyle name="_Ysl Weekly efficiency graph'10 (Wor 2-)2" xfId="4022" xr:uid="{00000000-0005-0000-0000-0000B50F0000}"/>
    <cellStyle name="_Ysl Weekly efficiency graph'10 (Wor 2-)2 2" xfId="4023" xr:uid="{00000000-0005-0000-0000-0000B60F0000}"/>
    <cellStyle name="_Ysl Weekly Status  2012" xfId="4024" xr:uid="{00000000-0005-0000-0000-0000B70F0000}"/>
    <cellStyle name="_Ysl Weekly Status  201213" xfId="4025" xr:uid="{00000000-0005-0000-0000-0000B80F0000}"/>
    <cellStyle name="_Ysl Weekly Status  201215" xfId="4026" xr:uid="{00000000-0005-0000-0000-0000B90F0000}"/>
    <cellStyle name="_Ysl Weekly Status  201216" xfId="4027" xr:uid="{00000000-0005-0000-0000-0000BA0F0000}"/>
    <cellStyle name="_Ysl Weekly Status  20127" xfId="4028" xr:uid="{00000000-0005-0000-0000-0000BB0F0000}"/>
    <cellStyle name="_Ysl Weekly Status (28-03) July-Aug' 2012" xfId="4029" xr:uid="{00000000-0005-0000-0000-0000BC0F0000}"/>
    <cellStyle name="_Ysl Weekly Status-201211" xfId="4030" xr:uid="{00000000-0005-0000-0000-0000BD0F0000}"/>
    <cellStyle name="_Ysl Weekly Status-201225" xfId="4031" xr:uid="{00000000-0005-0000-0000-0000BE0F0000}"/>
    <cellStyle name="_Ysl Weekly Status-20127" xfId="4032" xr:uid="{00000000-0005-0000-0000-0000BF0F0000}"/>
    <cellStyle name="_Ysl Weekly Status-20129" xfId="4033" xr:uid="{00000000-0005-0000-0000-0000C00F0000}"/>
    <cellStyle name="20% - ?????? 1" xfId="4034" xr:uid="{00000000-0005-0000-0000-0000C10F0000}"/>
    <cellStyle name="20% - ?????? 2" xfId="4035" xr:uid="{00000000-0005-0000-0000-0000C20F0000}"/>
    <cellStyle name="20% - ?????? 3" xfId="4036" xr:uid="{00000000-0005-0000-0000-0000C30F0000}"/>
    <cellStyle name="20% - ?????? 4" xfId="4037" xr:uid="{00000000-0005-0000-0000-0000C40F0000}"/>
    <cellStyle name="20% - ?????? 5" xfId="4038" xr:uid="{00000000-0005-0000-0000-0000C50F0000}"/>
    <cellStyle name="20% - ?????? 6" xfId="4039" xr:uid="{00000000-0005-0000-0000-0000C60F0000}"/>
    <cellStyle name="20% - Accent1 2" xfId="4040" xr:uid="{00000000-0005-0000-0000-0000C70F0000}"/>
    <cellStyle name="20% - Accent2 2" xfId="4041" xr:uid="{00000000-0005-0000-0000-0000C80F0000}"/>
    <cellStyle name="20% - Accent3 2" xfId="4042" xr:uid="{00000000-0005-0000-0000-0000C90F0000}"/>
    <cellStyle name="20% - Accent4 2" xfId="4043" xr:uid="{00000000-0005-0000-0000-0000CA0F0000}"/>
    <cellStyle name="20% - Accent5 2" xfId="4044" xr:uid="{00000000-0005-0000-0000-0000CB0F0000}"/>
    <cellStyle name="20% - Accent6 2" xfId="4045" xr:uid="{00000000-0005-0000-0000-0000CC0F0000}"/>
    <cellStyle name="20% - 강조색1" xfId="4046" xr:uid="{00000000-0005-0000-0000-0000CD0F0000}"/>
    <cellStyle name="20% - 강조색2" xfId="4047" xr:uid="{00000000-0005-0000-0000-0000CE0F0000}"/>
    <cellStyle name="20% - 강조색3" xfId="4048" xr:uid="{00000000-0005-0000-0000-0000CF0F0000}"/>
    <cellStyle name="20% - 강조색4" xfId="4049" xr:uid="{00000000-0005-0000-0000-0000D00F0000}"/>
    <cellStyle name="20% - 강조색5" xfId="4050" xr:uid="{00000000-0005-0000-0000-0000D10F0000}"/>
    <cellStyle name="20% - 강조색6" xfId="4051" xr:uid="{00000000-0005-0000-0000-0000D20F0000}"/>
    <cellStyle name="20% - 强调文字颜色 1" xfId="4052" xr:uid="{00000000-0005-0000-0000-0000D30F0000}"/>
    <cellStyle name="20% - 强调文字颜色 2" xfId="4053" xr:uid="{00000000-0005-0000-0000-0000D40F0000}"/>
    <cellStyle name="20% - 强调文字颜色 3" xfId="4054" xr:uid="{00000000-0005-0000-0000-0000D50F0000}"/>
    <cellStyle name="20% - 强调文字颜色 4" xfId="4055" xr:uid="{00000000-0005-0000-0000-0000D60F0000}"/>
    <cellStyle name="20% - 强调文字颜色 5" xfId="4056" xr:uid="{00000000-0005-0000-0000-0000D70F0000}"/>
    <cellStyle name="20% - 强调文字颜色 6" xfId="4057" xr:uid="{00000000-0005-0000-0000-0000D80F0000}"/>
    <cellStyle name="³f¹ô[0]_pldt" xfId="4058" xr:uid="{00000000-0005-0000-0000-0000D90F0000}"/>
    <cellStyle name="³f¹ô_PLDT" xfId="4059" xr:uid="{00000000-0005-0000-0000-0000DA0F0000}"/>
    <cellStyle name="40% - ?????? 1" xfId="4060" xr:uid="{00000000-0005-0000-0000-0000DB0F0000}"/>
    <cellStyle name="40% - ?????? 2" xfId="4061" xr:uid="{00000000-0005-0000-0000-0000DC0F0000}"/>
    <cellStyle name="40% - ?????? 3" xfId="4062" xr:uid="{00000000-0005-0000-0000-0000DD0F0000}"/>
    <cellStyle name="40% - ?????? 4" xfId="4063" xr:uid="{00000000-0005-0000-0000-0000DE0F0000}"/>
    <cellStyle name="40% - ?????? 5" xfId="4064" xr:uid="{00000000-0005-0000-0000-0000DF0F0000}"/>
    <cellStyle name="40% - ?????? 6" xfId="4065" xr:uid="{00000000-0005-0000-0000-0000E00F0000}"/>
    <cellStyle name="40% - Accent1 2" xfId="4066" xr:uid="{00000000-0005-0000-0000-0000E10F0000}"/>
    <cellStyle name="40% - Accent2 2" xfId="4067" xr:uid="{00000000-0005-0000-0000-0000E20F0000}"/>
    <cellStyle name="40% - Accent3 2" xfId="4068" xr:uid="{00000000-0005-0000-0000-0000E30F0000}"/>
    <cellStyle name="40% - Accent4 2" xfId="4069" xr:uid="{00000000-0005-0000-0000-0000E40F0000}"/>
    <cellStyle name="40% - Accent5 2" xfId="4070" xr:uid="{00000000-0005-0000-0000-0000E50F0000}"/>
    <cellStyle name="40% - Accent6 2" xfId="4071" xr:uid="{00000000-0005-0000-0000-0000E60F0000}"/>
    <cellStyle name="40% - 강조색1" xfId="4072" xr:uid="{00000000-0005-0000-0000-0000E70F0000}"/>
    <cellStyle name="40% - 강조색2" xfId="4073" xr:uid="{00000000-0005-0000-0000-0000E80F0000}"/>
    <cellStyle name="40% - 강조색3" xfId="4074" xr:uid="{00000000-0005-0000-0000-0000E90F0000}"/>
    <cellStyle name="40% - 강조색4" xfId="4075" xr:uid="{00000000-0005-0000-0000-0000EA0F0000}"/>
    <cellStyle name="40% - 강조색5" xfId="4076" xr:uid="{00000000-0005-0000-0000-0000EB0F0000}"/>
    <cellStyle name="40% - 강조색6" xfId="4077" xr:uid="{00000000-0005-0000-0000-0000EC0F0000}"/>
    <cellStyle name="40% - 强调文字颜色 1" xfId="4078" xr:uid="{00000000-0005-0000-0000-0000ED0F0000}"/>
    <cellStyle name="40% - 强调文字颜色 2" xfId="4079" xr:uid="{00000000-0005-0000-0000-0000EE0F0000}"/>
    <cellStyle name="40% - 强调文字颜色 3" xfId="4080" xr:uid="{00000000-0005-0000-0000-0000EF0F0000}"/>
    <cellStyle name="40% - 强调文字颜色 4" xfId="4081" xr:uid="{00000000-0005-0000-0000-0000F00F0000}"/>
    <cellStyle name="40% - 强调文字颜色 5" xfId="4082" xr:uid="{00000000-0005-0000-0000-0000F10F0000}"/>
    <cellStyle name="40% - 强调文字颜色 6" xfId="4083" xr:uid="{00000000-0005-0000-0000-0000F20F0000}"/>
    <cellStyle name="60% - ?????? 1" xfId="4084" xr:uid="{00000000-0005-0000-0000-0000F30F0000}"/>
    <cellStyle name="60% - ?????? 2" xfId="4085" xr:uid="{00000000-0005-0000-0000-0000F40F0000}"/>
    <cellStyle name="60% - ?????? 3" xfId="4086" xr:uid="{00000000-0005-0000-0000-0000F50F0000}"/>
    <cellStyle name="60% - ?????? 4" xfId="4087" xr:uid="{00000000-0005-0000-0000-0000F60F0000}"/>
    <cellStyle name="60% - ?????? 5" xfId="4088" xr:uid="{00000000-0005-0000-0000-0000F70F0000}"/>
    <cellStyle name="60% - ?????? 6" xfId="4089" xr:uid="{00000000-0005-0000-0000-0000F80F0000}"/>
    <cellStyle name="60% - Accent1 2" xfId="4090" xr:uid="{00000000-0005-0000-0000-0000F90F0000}"/>
    <cellStyle name="60% - Accent2 2" xfId="4091" xr:uid="{00000000-0005-0000-0000-0000FA0F0000}"/>
    <cellStyle name="60% - Accent3 2" xfId="4092" xr:uid="{00000000-0005-0000-0000-0000FB0F0000}"/>
    <cellStyle name="60% - Accent4 2" xfId="4093" xr:uid="{00000000-0005-0000-0000-0000FC0F0000}"/>
    <cellStyle name="60% - Accent5 2" xfId="4094" xr:uid="{00000000-0005-0000-0000-0000FD0F0000}"/>
    <cellStyle name="60% - Accent6 2" xfId="4095" xr:uid="{00000000-0005-0000-0000-0000FE0F0000}"/>
    <cellStyle name="60% - 강조색1" xfId="4096" xr:uid="{00000000-0005-0000-0000-0000FF0F0000}"/>
    <cellStyle name="60% - 강조색2" xfId="4097" xr:uid="{00000000-0005-0000-0000-000000100000}"/>
    <cellStyle name="60% - 강조색3" xfId="4098" xr:uid="{00000000-0005-0000-0000-000001100000}"/>
    <cellStyle name="60% - 강조색4" xfId="4099" xr:uid="{00000000-0005-0000-0000-000002100000}"/>
    <cellStyle name="60% - 강조색5" xfId="4100" xr:uid="{00000000-0005-0000-0000-000003100000}"/>
    <cellStyle name="60% - 강조색6" xfId="4101" xr:uid="{00000000-0005-0000-0000-000004100000}"/>
    <cellStyle name="60% - 强调文字颜色 1" xfId="4102" xr:uid="{00000000-0005-0000-0000-000005100000}"/>
    <cellStyle name="60% - 强调文字颜色 2" xfId="4103" xr:uid="{00000000-0005-0000-0000-000006100000}"/>
    <cellStyle name="60% - 强调文字颜色 3" xfId="4104" xr:uid="{00000000-0005-0000-0000-000007100000}"/>
    <cellStyle name="60% - 强调文字颜色 4" xfId="4105" xr:uid="{00000000-0005-0000-0000-000008100000}"/>
    <cellStyle name="60% - 强调文字颜色 5" xfId="4106" xr:uid="{00000000-0005-0000-0000-000009100000}"/>
    <cellStyle name="60% - 强调文字颜色 6" xfId="4107" xr:uid="{00000000-0005-0000-0000-00000A100000}"/>
    <cellStyle name="Accent1 2" xfId="4108" xr:uid="{00000000-0005-0000-0000-00000B100000}"/>
    <cellStyle name="Accent2 2" xfId="4109" xr:uid="{00000000-0005-0000-0000-00000C100000}"/>
    <cellStyle name="Accent3 2" xfId="4110" xr:uid="{00000000-0005-0000-0000-00000D100000}"/>
    <cellStyle name="Accent4 2" xfId="4111" xr:uid="{00000000-0005-0000-0000-00000E100000}"/>
    <cellStyle name="Accent5 2" xfId="4112" xr:uid="{00000000-0005-0000-0000-00000F100000}"/>
    <cellStyle name="Accent6 2" xfId="4113" xr:uid="{00000000-0005-0000-0000-000010100000}"/>
    <cellStyle name="args.style" xfId="4114" xr:uid="{00000000-0005-0000-0000-000011100000}"/>
    <cellStyle name="Bad 2" xfId="4115" xr:uid="{00000000-0005-0000-0000-000012100000}"/>
    <cellStyle name="C" xfId="4116" xr:uid="{00000000-0005-0000-0000-000013100000}"/>
    <cellStyle name="C 2" xfId="4117" xr:uid="{00000000-0005-0000-0000-000014100000}"/>
    <cellStyle name="Calc Currency (0)" xfId="4118" xr:uid="{00000000-0005-0000-0000-000015100000}"/>
    <cellStyle name="Calculation 2" xfId="4119" xr:uid="{00000000-0005-0000-0000-000016100000}"/>
    <cellStyle name="Check Cell 2" xfId="4120" xr:uid="{00000000-0005-0000-0000-000017100000}"/>
    <cellStyle name="Comma 10" xfId="4121" xr:uid="{00000000-0005-0000-0000-000018100000}"/>
    <cellStyle name="Comma 11" xfId="4122" xr:uid="{00000000-0005-0000-0000-000019100000}"/>
    <cellStyle name="Comma 12" xfId="4123" xr:uid="{00000000-0005-0000-0000-00001A100000}"/>
    <cellStyle name="Comma 13" xfId="4124" xr:uid="{00000000-0005-0000-0000-00001B100000}"/>
    <cellStyle name="Comma 14" xfId="4125" xr:uid="{00000000-0005-0000-0000-00001C100000}"/>
    <cellStyle name="Comma 15" xfId="4126" xr:uid="{00000000-0005-0000-0000-00001D100000}"/>
    <cellStyle name="Comma 16" xfId="4127" xr:uid="{00000000-0005-0000-0000-00001E100000}"/>
    <cellStyle name="Comma 17" xfId="4128" xr:uid="{00000000-0005-0000-0000-00001F100000}"/>
    <cellStyle name="Comma 18" xfId="4129" xr:uid="{00000000-0005-0000-0000-000020100000}"/>
    <cellStyle name="Comma 19" xfId="4130" xr:uid="{00000000-0005-0000-0000-000021100000}"/>
    <cellStyle name="Comma 2" xfId="4131" xr:uid="{00000000-0005-0000-0000-000022100000}"/>
    <cellStyle name="Comma 2 2" xfId="4132" xr:uid="{00000000-0005-0000-0000-000023100000}"/>
    <cellStyle name="Comma 20" xfId="4133" xr:uid="{00000000-0005-0000-0000-000024100000}"/>
    <cellStyle name="Comma 21" xfId="4134" xr:uid="{00000000-0005-0000-0000-000025100000}"/>
    <cellStyle name="Comma 22" xfId="4135" xr:uid="{00000000-0005-0000-0000-000026100000}"/>
    <cellStyle name="Comma 23" xfId="4136" xr:uid="{00000000-0005-0000-0000-000027100000}"/>
    <cellStyle name="Comma 24" xfId="4137" xr:uid="{00000000-0005-0000-0000-000028100000}"/>
    <cellStyle name="Comma 25" xfId="4138" xr:uid="{00000000-0005-0000-0000-000029100000}"/>
    <cellStyle name="Comma 26" xfId="4139" xr:uid="{00000000-0005-0000-0000-00002A100000}"/>
    <cellStyle name="Comma 27" xfId="4140" xr:uid="{00000000-0005-0000-0000-00002B100000}"/>
    <cellStyle name="Comma 28" xfId="4141" xr:uid="{00000000-0005-0000-0000-00002C100000}"/>
    <cellStyle name="Comma 29" xfId="4142" xr:uid="{00000000-0005-0000-0000-00002D100000}"/>
    <cellStyle name="Comma 3" xfId="4143" xr:uid="{00000000-0005-0000-0000-00002E100000}"/>
    <cellStyle name="Comma 30" xfId="4144" xr:uid="{00000000-0005-0000-0000-00002F100000}"/>
    <cellStyle name="Comma 31" xfId="4145" xr:uid="{00000000-0005-0000-0000-000030100000}"/>
    <cellStyle name="Comma 32" xfId="4146" xr:uid="{00000000-0005-0000-0000-000031100000}"/>
    <cellStyle name="Comma 33" xfId="4147" xr:uid="{00000000-0005-0000-0000-000032100000}"/>
    <cellStyle name="Comma 34" xfId="4148" xr:uid="{00000000-0005-0000-0000-000033100000}"/>
    <cellStyle name="Comma 35" xfId="4149" xr:uid="{00000000-0005-0000-0000-000034100000}"/>
    <cellStyle name="Comma 36" xfId="4150" xr:uid="{00000000-0005-0000-0000-000035100000}"/>
    <cellStyle name="Comma 37" xfId="4151" xr:uid="{00000000-0005-0000-0000-000036100000}"/>
    <cellStyle name="Comma 4" xfId="4152" xr:uid="{00000000-0005-0000-0000-000037100000}"/>
    <cellStyle name="Comma 5" xfId="4153" xr:uid="{00000000-0005-0000-0000-000038100000}"/>
    <cellStyle name="Comma 6" xfId="4154" xr:uid="{00000000-0005-0000-0000-000039100000}"/>
    <cellStyle name="Comma 7" xfId="4155" xr:uid="{00000000-0005-0000-0000-00003A100000}"/>
    <cellStyle name="Comma 8" xfId="4156" xr:uid="{00000000-0005-0000-0000-00003B100000}"/>
    <cellStyle name="Comma 9" xfId="4157" xr:uid="{00000000-0005-0000-0000-00003C100000}"/>
    <cellStyle name="Comma0" xfId="4158" xr:uid="{00000000-0005-0000-0000-00003D100000}"/>
    <cellStyle name="Comma0 2" xfId="4159" xr:uid="{00000000-0005-0000-0000-00003E100000}"/>
    <cellStyle name="Copied" xfId="4160" xr:uid="{00000000-0005-0000-0000-00003F100000}"/>
    <cellStyle name="COST1" xfId="4161" xr:uid="{00000000-0005-0000-0000-000040100000}"/>
    <cellStyle name="Currency 10" xfId="4162" xr:uid="{00000000-0005-0000-0000-000041100000}"/>
    <cellStyle name="Currency 11" xfId="4163" xr:uid="{00000000-0005-0000-0000-000042100000}"/>
    <cellStyle name="Currency 12" xfId="4164" xr:uid="{00000000-0005-0000-0000-000043100000}"/>
    <cellStyle name="Currency 13" xfId="4165" xr:uid="{00000000-0005-0000-0000-000044100000}"/>
    <cellStyle name="Currency 14" xfId="4166" xr:uid="{00000000-0005-0000-0000-000045100000}"/>
    <cellStyle name="Currency 15" xfId="4167" xr:uid="{00000000-0005-0000-0000-000046100000}"/>
    <cellStyle name="Currency 16" xfId="4168" xr:uid="{00000000-0005-0000-0000-000047100000}"/>
    <cellStyle name="Currency 17" xfId="4169" xr:uid="{00000000-0005-0000-0000-000048100000}"/>
    <cellStyle name="Currency 18" xfId="4170" xr:uid="{00000000-0005-0000-0000-000049100000}"/>
    <cellStyle name="Currency 19" xfId="4171" xr:uid="{00000000-0005-0000-0000-00004A100000}"/>
    <cellStyle name="Currency 2" xfId="4172" xr:uid="{00000000-0005-0000-0000-00004B100000}"/>
    <cellStyle name="Currency 2 2" xfId="4173" xr:uid="{00000000-0005-0000-0000-00004C100000}"/>
    <cellStyle name="Currency 2 3" xfId="4174" xr:uid="{00000000-0005-0000-0000-00004D100000}"/>
    <cellStyle name="Currency 2 4" xfId="4175" xr:uid="{00000000-0005-0000-0000-00004E100000}"/>
    <cellStyle name="Currency 20" xfId="4176" xr:uid="{00000000-0005-0000-0000-00004F100000}"/>
    <cellStyle name="Currency 21" xfId="4177" xr:uid="{00000000-0005-0000-0000-000050100000}"/>
    <cellStyle name="Currency 22" xfId="4178" xr:uid="{00000000-0005-0000-0000-000051100000}"/>
    <cellStyle name="Currency 23" xfId="4179" xr:uid="{00000000-0005-0000-0000-000052100000}"/>
    <cellStyle name="Currency 24" xfId="4180" xr:uid="{00000000-0005-0000-0000-000053100000}"/>
    <cellStyle name="Currency 25" xfId="4181" xr:uid="{00000000-0005-0000-0000-000054100000}"/>
    <cellStyle name="Currency 26" xfId="4182" xr:uid="{00000000-0005-0000-0000-000055100000}"/>
    <cellStyle name="Currency 27" xfId="4183" xr:uid="{00000000-0005-0000-0000-000056100000}"/>
    <cellStyle name="Currency 28" xfId="4184" xr:uid="{00000000-0005-0000-0000-000057100000}"/>
    <cellStyle name="Currency 3" xfId="4185" xr:uid="{00000000-0005-0000-0000-000058100000}"/>
    <cellStyle name="Currency 4" xfId="4186" xr:uid="{00000000-0005-0000-0000-000059100000}"/>
    <cellStyle name="Currency 5" xfId="4187" xr:uid="{00000000-0005-0000-0000-00005A100000}"/>
    <cellStyle name="Currency 6" xfId="4188" xr:uid="{00000000-0005-0000-0000-00005B100000}"/>
    <cellStyle name="Currency 7" xfId="4189" xr:uid="{00000000-0005-0000-0000-00005C100000}"/>
    <cellStyle name="Currency 8" xfId="4190" xr:uid="{00000000-0005-0000-0000-00005D100000}"/>
    <cellStyle name="Currency 9" xfId="4191" xr:uid="{00000000-0005-0000-0000-00005E100000}"/>
    <cellStyle name="Currency0" xfId="4192" xr:uid="{00000000-0005-0000-0000-00005F100000}"/>
    <cellStyle name="Currency0 2" xfId="4193" xr:uid="{00000000-0005-0000-0000-000060100000}"/>
    <cellStyle name="Date" xfId="4194" xr:uid="{00000000-0005-0000-0000-000061100000}"/>
    <cellStyle name="Date 2" xfId="4195" xr:uid="{00000000-0005-0000-0000-000062100000}"/>
    <cellStyle name="Entered" xfId="4196" xr:uid="{00000000-0005-0000-0000-000063100000}"/>
    <cellStyle name="Explanatory Text 2" xfId="4197" xr:uid="{00000000-0005-0000-0000-000064100000}"/>
    <cellStyle name="Fixed" xfId="4198" xr:uid="{00000000-0005-0000-0000-000065100000}"/>
    <cellStyle name="Fixed 2" xfId="4199" xr:uid="{00000000-0005-0000-0000-000066100000}"/>
    <cellStyle name="FollowĀd Hyperlink" xfId="4200" xr:uid="{00000000-0005-0000-0000-000067100000}"/>
    <cellStyle name="Good 2" xfId="4201" xr:uid="{00000000-0005-0000-0000-000068100000}"/>
    <cellStyle name="Good 2 2" xfId="4202" xr:uid="{00000000-0005-0000-0000-000069100000}"/>
    <cellStyle name="Good 3" xfId="4203" xr:uid="{00000000-0005-0000-0000-00006A100000}"/>
    <cellStyle name="Grey" xfId="4204" xr:uid="{00000000-0005-0000-0000-00006B100000}"/>
    <cellStyle name="Header1" xfId="4205" xr:uid="{00000000-0005-0000-0000-00006C100000}"/>
    <cellStyle name="Header2" xfId="4206" xr:uid="{00000000-0005-0000-0000-00006D100000}"/>
    <cellStyle name="Heading 1 2" xfId="4207" xr:uid="{00000000-0005-0000-0000-00006E100000}"/>
    <cellStyle name="Heading 2 2" xfId="4208" xr:uid="{00000000-0005-0000-0000-00006F100000}"/>
    <cellStyle name="Heading 3 2" xfId="4209" xr:uid="{00000000-0005-0000-0000-000070100000}"/>
    <cellStyle name="Heading 4 2" xfId="4210" xr:uid="{00000000-0005-0000-0000-000071100000}"/>
    <cellStyle name="Input [yellow]" xfId="4211" xr:uid="{00000000-0005-0000-0000-000072100000}"/>
    <cellStyle name="Input 2" xfId="4212" xr:uid="{00000000-0005-0000-0000-000073100000}"/>
    <cellStyle name="Input Cells" xfId="4213" xr:uid="{00000000-0005-0000-0000-000074100000}"/>
    <cellStyle name="Linked Cell 2" xfId="4214" xr:uid="{00000000-0005-0000-0000-000075100000}"/>
    <cellStyle name="Linked Cells" xfId="4215" xr:uid="{00000000-0005-0000-0000-000076100000}"/>
    <cellStyle name="Milliers [0]_!!!GO" xfId="4216" xr:uid="{00000000-0005-0000-0000-000077100000}"/>
    <cellStyle name="Milliers_!!!GO" xfId="4217" xr:uid="{00000000-0005-0000-0000-000078100000}"/>
    <cellStyle name="Monétaire [0]_!!!GO" xfId="4218" xr:uid="{00000000-0005-0000-0000-000079100000}"/>
    <cellStyle name="Monétaire_!!!GO" xfId="4219" xr:uid="{00000000-0005-0000-0000-00007A100000}"/>
    <cellStyle name="Neutral 2" xfId="4220" xr:uid="{00000000-0005-0000-0000-00007B100000}"/>
    <cellStyle name="no dec" xfId="4221" xr:uid="{00000000-0005-0000-0000-00007C100000}"/>
    <cellStyle name="Normal" xfId="0" builtinId="0"/>
    <cellStyle name="Normal - Style1" xfId="4222" xr:uid="{00000000-0005-0000-0000-00007E100000}"/>
    <cellStyle name="Normal 10" xfId="4223" xr:uid="{00000000-0005-0000-0000-00007F100000}"/>
    <cellStyle name="Normal 10 2" xfId="4224" xr:uid="{00000000-0005-0000-0000-000080100000}"/>
    <cellStyle name="Normal 10 3" xfId="4225" xr:uid="{00000000-0005-0000-0000-000081100000}"/>
    <cellStyle name="Normal 10_BD All Fac Weekly Eff% Status (20th Oct- 24th Oct ) ' 13" xfId="4226" xr:uid="{00000000-0005-0000-0000-000082100000}"/>
    <cellStyle name="Normal 11" xfId="4227" xr:uid="{00000000-0005-0000-0000-000083100000}"/>
    <cellStyle name="Normal 12" xfId="4228" xr:uid="{00000000-0005-0000-0000-000084100000}"/>
    <cellStyle name="Normal 12 2" xfId="4229" xr:uid="{00000000-0005-0000-0000-000085100000}"/>
    <cellStyle name="Normal 12_All  Raw (Jan to Apr) 2013 (1)........" xfId="4230" xr:uid="{00000000-0005-0000-0000-000086100000}"/>
    <cellStyle name="Normal 13" xfId="4231" xr:uid="{00000000-0005-0000-0000-000087100000}"/>
    <cellStyle name="Normal 14" xfId="4232" xr:uid="{00000000-0005-0000-0000-000088100000}"/>
    <cellStyle name="Normal 14 2" xfId="4233" xr:uid="{00000000-0005-0000-0000-000089100000}"/>
    <cellStyle name="Normal 14 3" xfId="4234" xr:uid="{00000000-0005-0000-0000-00008A100000}"/>
    <cellStyle name="Normal 15" xfId="4235" xr:uid="{00000000-0005-0000-0000-00008B100000}"/>
    <cellStyle name="Normal 16" xfId="4236" xr:uid="{00000000-0005-0000-0000-00008C100000}"/>
    <cellStyle name="Normal 17" xfId="4237" xr:uid="{00000000-0005-0000-0000-00008D100000}"/>
    <cellStyle name="Normal 17 2" xfId="4238" xr:uid="{00000000-0005-0000-0000-00008E100000}"/>
    <cellStyle name="Normal 17 2 2" xfId="4239" xr:uid="{00000000-0005-0000-0000-00008F100000}"/>
    <cellStyle name="Normal 17 2 3" xfId="4240" xr:uid="{00000000-0005-0000-0000-000090100000}"/>
    <cellStyle name="Normal 17 2 4" xfId="4241" xr:uid="{00000000-0005-0000-0000-000091100000}"/>
    <cellStyle name="Normal 17 2 5" xfId="4242" xr:uid="{00000000-0005-0000-0000-000092100000}"/>
    <cellStyle name="Normal 17 3" xfId="4243" xr:uid="{00000000-0005-0000-0000-000093100000}"/>
    <cellStyle name="Normal 17 4" xfId="4244" xr:uid="{00000000-0005-0000-0000-000094100000}"/>
    <cellStyle name="Normal 18" xfId="4245" xr:uid="{00000000-0005-0000-0000-000095100000}"/>
    <cellStyle name="Normal 19" xfId="4246" xr:uid="{00000000-0005-0000-0000-000096100000}"/>
    <cellStyle name="Normal 19 2" xfId="4247" xr:uid="{00000000-0005-0000-0000-000097100000}"/>
    <cellStyle name="Normal 19 3" xfId="4248" xr:uid="{00000000-0005-0000-0000-000098100000}"/>
    <cellStyle name="Normal 2" xfId="4249" xr:uid="{00000000-0005-0000-0000-000099100000}"/>
    <cellStyle name="Normal 2 2" xfId="4250" xr:uid="{00000000-0005-0000-0000-00009A100000}"/>
    <cellStyle name="Normal 2 2 2" xfId="4251" xr:uid="{00000000-0005-0000-0000-00009B100000}"/>
    <cellStyle name="Normal 2 2 3" xfId="4252" xr:uid="{00000000-0005-0000-0000-00009C100000}"/>
    <cellStyle name="Normal 2 3" xfId="4253" xr:uid="{00000000-0005-0000-0000-00009D100000}"/>
    <cellStyle name="Normal 2 3 2" xfId="4254" xr:uid="{00000000-0005-0000-0000-00009E100000}"/>
    <cellStyle name="Normal 2 4" xfId="4255" xr:uid="{00000000-0005-0000-0000-00009F100000}"/>
    <cellStyle name="Normal 2 5" xfId="4256" xr:uid="{00000000-0005-0000-0000-0000A0100000}"/>
    <cellStyle name="Normal 2_All  Raw (Jan to Apr) 2013 (1)........" xfId="4257" xr:uid="{00000000-0005-0000-0000-0000A1100000}"/>
    <cellStyle name="Normal 20" xfId="4258" xr:uid="{00000000-0005-0000-0000-0000A2100000}"/>
    <cellStyle name="Normal 20 2" xfId="4259" xr:uid="{00000000-0005-0000-0000-0000A3100000}"/>
    <cellStyle name="Normal 20_BD All Fac Weekly Eff% Status (20th Oct- 24th Oct ) ' 13" xfId="4260" xr:uid="{00000000-0005-0000-0000-0000A4100000}"/>
    <cellStyle name="Normal 21" xfId="4261" xr:uid="{00000000-0005-0000-0000-0000A5100000}"/>
    <cellStyle name="Normal 21 2" xfId="4262" xr:uid="{00000000-0005-0000-0000-0000A6100000}"/>
    <cellStyle name="Normal 22" xfId="4263" xr:uid="{00000000-0005-0000-0000-0000A7100000}"/>
    <cellStyle name="Normal 22 2" xfId="4264" xr:uid="{00000000-0005-0000-0000-0000A8100000}"/>
    <cellStyle name="Normal 23" xfId="4265" xr:uid="{00000000-0005-0000-0000-0000A9100000}"/>
    <cellStyle name="Normal 23 2" xfId="4266" xr:uid="{00000000-0005-0000-0000-0000AA100000}"/>
    <cellStyle name="Normal 23 3" xfId="4267" xr:uid="{00000000-0005-0000-0000-0000AB100000}"/>
    <cellStyle name="Normal 24" xfId="4268" xr:uid="{00000000-0005-0000-0000-0000AC100000}"/>
    <cellStyle name="Normal 24 11" xfId="4269" xr:uid="{00000000-0005-0000-0000-0000AD100000}"/>
    <cellStyle name="Normal 24 2" xfId="4270" xr:uid="{00000000-0005-0000-0000-0000AE100000}"/>
    <cellStyle name="Normal 24 2 12" xfId="4271" xr:uid="{00000000-0005-0000-0000-0000AF100000}"/>
    <cellStyle name="Normal 24 2 2" xfId="4272" xr:uid="{00000000-0005-0000-0000-0000B0100000}"/>
    <cellStyle name="Normal 24 2 2 2" xfId="4273" xr:uid="{00000000-0005-0000-0000-0000B1100000}"/>
    <cellStyle name="Normal 24 2 2 3" xfId="4274" xr:uid="{00000000-0005-0000-0000-0000B2100000}"/>
    <cellStyle name="Normal 24 2 3" xfId="4275" xr:uid="{00000000-0005-0000-0000-0000B3100000}"/>
    <cellStyle name="Normal 24 2 4" xfId="4276" xr:uid="{00000000-0005-0000-0000-0000B4100000}"/>
    <cellStyle name="Normal 24 3" xfId="4277" xr:uid="{00000000-0005-0000-0000-0000B5100000}"/>
    <cellStyle name="Normal 24 4" xfId="4278" xr:uid="{00000000-0005-0000-0000-0000B6100000}"/>
    <cellStyle name="Normal 25" xfId="4279" xr:uid="{00000000-0005-0000-0000-0000B7100000}"/>
    <cellStyle name="Normal 26" xfId="4280" xr:uid="{00000000-0005-0000-0000-0000B8100000}"/>
    <cellStyle name="Normal 26 2" xfId="4281" xr:uid="{00000000-0005-0000-0000-0000B9100000}"/>
    <cellStyle name="Normal 26 3" xfId="4282" xr:uid="{00000000-0005-0000-0000-0000BA100000}"/>
    <cellStyle name="Normal 26 4" xfId="4283" xr:uid="{00000000-0005-0000-0000-0000BB100000}"/>
    <cellStyle name="Normal 26 5" xfId="4284" xr:uid="{00000000-0005-0000-0000-0000BC100000}"/>
    <cellStyle name="Normal 26_All  Raw (Jan to Apr) 2013 (1)........" xfId="4285" xr:uid="{00000000-0005-0000-0000-0000BD100000}"/>
    <cellStyle name="Normal 27" xfId="4286" xr:uid="{00000000-0005-0000-0000-0000BE100000}"/>
    <cellStyle name="Normal 28" xfId="4287" xr:uid="{00000000-0005-0000-0000-0000BF100000}"/>
    <cellStyle name="Normal 28 2" xfId="4288" xr:uid="{00000000-0005-0000-0000-0000C0100000}"/>
    <cellStyle name="Normal 29" xfId="4289" xr:uid="{00000000-0005-0000-0000-0000C1100000}"/>
    <cellStyle name="Normal 3" xfId="4290" xr:uid="{00000000-0005-0000-0000-0000C2100000}"/>
    <cellStyle name="Normal 3 2" xfId="4291" xr:uid="{00000000-0005-0000-0000-0000C3100000}"/>
    <cellStyle name="Normal 3 2 2" xfId="4292" xr:uid="{00000000-0005-0000-0000-0000C4100000}"/>
    <cellStyle name="Normal 3 2 3" xfId="4293" xr:uid="{00000000-0005-0000-0000-0000C5100000}"/>
    <cellStyle name="Normal 3 2 3 2" xfId="4294" xr:uid="{00000000-0005-0000-0000-0000C6100000}"/>
    <cellStyle name="Normal 3 3" xfId="4295" xr:uid="{00000000-0005-0000-0000-0000C7100000}"/>
    <cellStyle name="Normal 3 3 2" xfId="4296" xr:uid="{00000000-0005-0000-0000-0000C8100000}"/>
    <cellStyle name="Normal 3 4" xfId="4297" xr:uid="{00000000-0005-0000-0000-0000C9100000}"/>
    <cellStyle name="Normal 3_Base line Data-YC-15(G)" xfId="4298" xr:uid="{00000000-0005-0000-0000-0000CA100000}"/>
    <cellStyle name="Normal 30" xfId="4299" xr:uid="{00000000-0005-0000-0000-0000CB100000}"/>
    <cellStyle name="Normal 31" xfId="4300" xr:uid="{00000000-0005-0000-0000-0000CC100000}"/>
    <cellStyle name="Normal 32" xfId="4301" xr:uid="{00000000-0005-0000-0000-0000CD100000}"/>
    <cellStyle name="Normal 33" xfId="4302" xr:uid="{00000000-0005-0000-0000-0000CE100000}"/>
    <cellStyle name="Normal 34" xfId="4303" xr:uid="{00000000-0005-0000-0000-0000CF100000}"/>
    <cellStyle name="Normal 35" xfId="4304" xr:uid="{00000000-0005-0000-0000-0000D0100000}"/>
    <cellStyle name="Normal 36" xfId="4305" xr:uid="{00000000-0005-0000-0000-0000D1100000}"/>
    <cellStyle name="Normal 36 2" xfId="4306" xr:uid="{00000000-0005-0000-0000-0000D2100000}"/>
    <cellStyle name="Normal 36_BD All Fac Weekly Eff% Status (20th Oct- 24th Oct ) ' 13" xfId="4307" xr:uid="{00000000-0005-0000-0000-0000D3100000}"/>
    <cellStyle name="Normal 37" xfId="4308" xr:uid="{00000000-0005-0000-0000-0000D4100000}"/>
    <cellStyle name="Normal 38" xfId="4309" xr:uid="{00000000-0005-0000-0000-0000D5100000}"/>
    <cellStyle name="Normal 39" xfId="4310" xr:uid="{00000000-0005-0000-0000-0000D6100000}"/>
    <cellStyle name="Normal 4" xfId="4311" xr:uid="{00000000-0005-0000-0000-0000D7100000}"/>
    <cellStyle name="Normal 4 2" xfId="4312" xr:uid="{00000000-0005-0000-0000-0000D8100000}"/>
    <cellStyle name="Normal 4 2 2" xfId="4313" xr:uid="{00000000-0005-0000-0000-0000D9100000}"/>
    <cellStyle name="Normal 40" xfId="4314" xr:uid="{00000000-0005-0000-0000-0000DA100000}"/>
    <cellStyle name="Normal 41" xfId="4315" xr:uid="{00000000-0005-0000-0000-0000DB100000}"/>
    <cellStyle name="Normal 42" xfId="4316" xr:uid="{00000000-0005-0000-0000-0000DC100000}"/>
    <cellStyle name="Normal 43" xfId="4317" xr:uid="{00000000-0005-0000-0000-0000DD100000}"/>
    <cellStyle name="Normal 44" xfId="4318" xr:uid="{00000000-0005-0000-0000-0000DE100000}"/>
    <cellStyle name="Normal 45" xfId="4319" xr:uid="{00000000-0005-0000-0000-0000DF100000}"/>
    <cellStyle name="Normal 46" xfId="4320" xr:uid="{00000000-0005-0000-0000-0000E0100000}"/>
    <cellStyle name="Normal 47" xfId="4321" xr:uid="{00000000-0005-0000-0000-0000E1100000}"/>
    <cellStyle name="Normal 48" xfId="4322" xr:uid="{00000000-0005-0000-0000-0000E2100000}"/>
    <cellStyle name="Normal 49" xfId="4323" xr:uid="{00000000-0005-0000-0000-0000E3100000}"/>
    <cellStyle name="Normal 5" xfId="4324" xr:uid="{00000000-0005-0000-0000-0000E4100000}"/>
    <cellStyle name="Normal 5 2" xfId="4325" xr:uid="{00000000-0005-0000-0000-0000E5100000}"/>
    <cellStyle name="Normal 5 3" xfId="4326" xr:uid="{00000000-0005-0000-0000-0000E6100000}"/>
    <cellStyle name="Normal 5_BD All Fac Weekly Eff% Status (20th Oct- 24th Oct ) ' 13" xfId="4327" xr:uid="{00000000-0005-0000-0000-0000E7100000}"/>
    <cellStyle name="Normal 50" xfId="4328" xr:uid="{00000000-0005-0000-0000-0000E8100000}"/>
    <cellStyle name="Normal 51" xfId="4329" xr:uid="{00000000-0005-0000-0000-0000E9100000}"/>
    <cellStyle name="Normal 51 2" xfId="4330" xr:uid="{00000000-0005-0000-0000-0000EA100000}"/>
    <cellStyle name="Normal 51 3" xfId="4331" xr:uid="{00000000-0005-0000-0000-0000EB100000}"/>
    <cellStyle name="Normal 51 4" xfId="4332" xr:uid="{00000000-0005-0000-0000-0000EC100000}"/>
    <cellStyle name="Normal 51 4 2" xfId="4333" xr:uid="{00000000-0005-0000-0000-0000ED100000}"/>
    <cellStyle name="Normal 51 5" xfId="4334" xr:uid="{00000000-0005-0000-0000-0000EE100000}"/>
    <cellStyle name="Normal 52" xfId="4335" xr:uid="{00000000-0005-0000-0000-0000EF100000}"/>
    <cellStyle name="Normal 53" xfId="4336" xr:uid="{00000000-0005-0000-0000-0000F0100000}"/>
    <cellStyle name="Normal 53 2" xfId="4337" xr:uid="{00000000-0005-0000-0000-0000F1100000}"/>
    <cellStyle name="Normal 54" xfId="4338" xr:uid="{00000000-0005-0000-0000-0000F2100000}"/>
    <cellStyle name="Normal 55" xfId="4339" xr:uid="{00000000-0005-0000-0000-0000F3100000}"/>
    <cellStyle name="Normal 56" xfId="4340" xr:uid="{00000000-0005-0000-0000-0000F4100000}"/>
    <cellStyle name="Normal 57" xfId="4341" xr:uid="{00000000-0005-0000-0000-0000F5100000}"/>
    <cellStyle name="Normal 58" xfId="4342" xr:uid="{00000000-0005-0000-0000-0000F6100000}"/>
    <cellStyle name="Normal 59" xfId="4343" xr:uid="{00000000-0005-0000-0000-0000F7100000}"/>
    <cellStyle name="Normal 6" xfId="4344" xr:uid="{00000000-0005-0000-0000-0000F8100000}"/>
    <cellStyle name="Normal 7" xfId="4345" xr:uid="{00000000-0005-0000-0000-0000F9100000}"/>
    <cellStyle name="Normal 7 2" xfId="4346" xr:uid="{00000000-0005-0000-0000-0000FA100000}"/>
    <cellStyle name="Normal 7 3" xfId="4347" xr:uid="{00000000-0005-0000-0000-0000FB100000}"/>
    <cellStyle name="Normal 7_BD All Fac Weekly Eff% Status (20th Oct- 24th Oct ) ' 13" xfId="4348" xr:uid="{00000000-0005-0000-0000-0000FC100000}"/>
    <cellStyle name="Normal 8" xfId="4349" xr:uid="{00000000-0005-0000-0000-0000FD100000}"/>
    <cellStyle name="Normal 9" xfId="4350" xr:uid="{00000000-0005-0000-0000-0000FE100000}"/>
    <cellStyle name="Normal 9 2" xfId="4351" xr:uid="{00000000-0005-0000-0000-0000FF100000}"/>
    <cellStyle name="Normal 9_BD All Fac Weekly Eff% Status (20th Oct- 24th Oct ) ' 13" xfId="4352" xr:uid="{00000000-0005-0000-0000-000000110000}"/>
    <cellStyle name="Note 2" xfId="4353" xr:uid="{00000000-0005-0000-0000-000001110000}"/>
    <cellStyle name="Œ…‹æØ‚è [0.00]_Region Orders (2)" xfId="4354" xr:uid="{00000000-0005-0000-0000-000002110000}"/>
    <cellStyle name="Œ…‹æØ‚è_Region Orders (2)" xfId="4355" xr:uid="{00000000-0005-0000-0000-000003110000}"/>
    <cellStyle name="Output 2" xfId="4356" xr:uid="{00000000-0005-0000-0000-000004110000}"/>
    <cellStyle name="per.style" xfId="4357" xr:uid="{00000000-0005-0000-0000-000005110000}"/>
    <cellStyle name="Percent [2]" xfId="4358" xr:uid="{00000000-0005-0000-0000-000006110000}"/>
    <cellStyle name="Percent [2] 2" xfId="4359" xr:uid="{00000000-0005-0000-0000-000007110000}"/>
    <cellStyle name="Percent 10" xfId="4360" xr:uid="{00000000-0005-0000-0000-000008110000}"/>
    <cellStyle name="Percent 10 2" xfId="4361" xr:uid="{00000000-0005-0000-0000-000009110000}"/>
    <cellStyle name="Percent 10 3" xfId="4362" xr:uid="{00000000-0005-0000-0000-00000A110000}"/>
    <cellStyle name="Percent 11" xfId="4363" xr:uid="{00000000-0005-0000-0000-00000B110000}"/>
    <cellStyle name="Percent 11 2" xfId="4364" xr:uid="{00000000-0005-0000-0000-00000C110000}"/>
    <cellStyle name="Percent 12" xfId="4365" xr:uid="{00000000-0005-0000-0000-00000D110000}"/>
    <cellStyle name="Percent 13" xfId="4366" xr:uid="{00000000-0005-0000-0000-00000E110000}"/>
    <cellStyle name="Percent 14" xfId="4367" xr:uid="{00000000-0005-0000-0000-00000F110000}"/>
    <cellStyle name="Percent 15" xfId="4368" xr:uid="{00000000-0005-0000-0000-000010110000}"/>
    <cellStyle name="Percent 16" xfId="4369" xr:uid="{00000000-0005-0000-0000-000011110000}"/>
    <cellStyle name="Percent 17" xfId="4370" xr:uid="{00000000-0005-0000-0000-000012110000}"/>
    <cellStyle name="Percent 18" xfId="4371" xr:uid="{00000000-0005-0000-0000-000013110000}"/>
    <cellStyle name="Percent 19" xfId="4372" xr:uid="{00000000-0005-0000-0000-000014110000}"/>
    <cellStyle name="Percent 2" xfId="4373" xr:uid="{00000000-0005-0000-0000-000015110000}"/>
    <cellStyle name="Percent 2 2" xfId="4374" xr:uid="{00000000-0005-0000-0000-000016110000}"/>
    <cellStyle name="Percent 2 2 2" xfId="4375" xr:uid="{00000000-0005-0000-0000-000017110000}"/>
    <cellStyle name="Percent 2 3" xfId="4376" xr:uid="{00000000-0005-0000-0000-000018110000}"/>
    <cellStyle name="Percent 2 4" xfId="4377" xr:uid="{00000000-0005-0000-0000-000019110000}"/>
    <cellStyle name="Percent 2 5" xfId="4378" xr:uid="{00000000-0005-0000-0000-00001A110000}"/>
    <cellStyle name="Percent 20" xfId="4379" xr:uid="{00000000-0005-0000-0000-00001B110000}"/>
    <cellStyle name="Percent 21" xfId="4380" xr:uid="{00000000-0005-0000-0000-00001C110000}"/>
    <cellStyle name="Percent 22" xfId="4381" xr:uid="{00000000-0005-0000-0000-00001D110000}"/>
    <cellStyle name="Percent 23" xfId="4382" xr:uid="{00000000-0005-0000-0000-00001E110000}"/>
    <cellStyle name="Percent 23 2" xfId="4383" xr:uid="{00000000-0005-0000-0000-00001F110000}"/>
    <cellStyle name="Percent 24" xfId="4384" xr:uid="{00000000-0005-0000-0000-000020110000}"/>
    <cellStyle name="Percent 25" xfId="4385" xr:uid="{00000000-0005-0000-0000-000021110000}"/>
    <cellStyle name="Percent 26" xfId="4386" xr:uid="{00000000-0005-0000-0000-000022110000}"/>
    <cellStyle name="Percent 27" xfId="4387" xr:uid="{00000000-0005-0000-0000-000023110000}"/>
    <cellStyle name="Percent 28" xfId="4388" xr:uid="{00000000-0005-0000-0000-000024110000}"/>
    <cellStyle name="Percent 29" xfId="4389" xr:uid="{00000000-0005-0000-0000-000025110000}"/>
    <cellStyle name="Percent 3" xfId="4390" xr:uid="{00000000-0005-0000-0000-000026110000}"/>
    <cellStyle name="Percent 3 2" xfId="4391" xr:uid="{00000000-0005-0000-0000-000027110000}"/>
    <cellStyle name="Percent 3 3" xfId="4392" xr:uid="{00000000-0005-0000-0000-000028110000}"/>
    <cellStyle name="Percent 30" xfId="4393" xr:uid="{00000000-0005-0000-0000-000029110000}"/>
    <cellStyle name="Percent 31" xfId="4394" xr:uid="{00000000-0005-0000-0000-00002A110000}"/>
    <cellStyle name="Percent 32" xfId="4395" xr:uid="{00000000-0005-0000-0000-00002B110000}"/>
    <cellStyle name="Percent 33" xfId="4396" xr:uid="{00000000-0005-0000-0000-00002C110000}"/>
    <cellStyle name="Percent 34" xfId="4397" xr:uid="{00000000-0005-0000-0000-00002D110000}"/>
    <cellStyle name="Percent 35" xfId="4398" xr:uid="{00000000-0005-0000-0000-00002E110000}"/>
    <cellStyle name="Percent 36" xfId="4399" xr:uid="{00000000-0005-0000-0000-00002F110000}"/>
    <cellStyle name="Percent 37" xfId="4400" xr:uid="{00000000-0005-0000-0000-000030110000}"/>
    <cellStyle name="Percent 38" xfId="4401" xr:uid="{00000000-0005-0000-0000-000031110000}"/>
    <cellStyle name="Percent 39" xfId="4402" xr:uid="{00000000-0005-0000-0000-000032110000}"/>
    <cellStyle name="Percent 4" xfId="4403" xr:uid="{00000000-0005-0000-0000-000033110000}"/>
    <cellStyle name="Percent 40" xfId="4404" xr:uid="{00000000-0005-0000-0000-000034110000}"/>
    <cellStyle name="Percent 41" xfId="4405" xr:uid="{00000000-0005-0000-0000-000035110000}"/>
    <cellStyle name="Percent 42" xfId="4406" xr:uid="{00000000-0005-0000-0000-000036110000}"/>
    <cellStyle name="Percent 43" xfId="4407" xr:uid="{00000000-0005-0000-0000-000037110000}"/>
    <cellStyle name="Percent 44" xfId="4408" xr:uid="{00000000-0005-0000-0000-000038110000}"/>
    <cellStyle name="Percent 45" xfId="4409" xr:uid="{00000000-0005-0000-0000-000039110000}"/>
    <cellStyle name="Percent 46" xfId="4410" xr:uid="{00000000-0005-0000-0000-00003A110000}"/>
    <cellStyle name="Percent 47" xfId="4411" xr:uid="{00000000-0005-0000-0000-00003B110000}"/>
    <cellStyle name="Percent 48" xfId="4412" xr:uid="{00000000-0005-0000-0000-00003C110000}"/>
    <cellStyle name="Percent 49" xfId="4413" xr:uid="{00000000-0005-0000-0000-00003D110000}"/>
    <cellStyle name="Percent 5" xfId="4414" xr:uid="{00000000-0005-0000-0000-00003E110000}"/>
    <cellStyle name="Percent 5 2" xfId="4415" xr:uid="{00000000-0005-0000-0000-00003F110000}"/>
    <cellStyle name="Percent 50" xfId="4416" xr:uid="{00000000-0005-0000-0000-000040110000}"/>
    <cellStyle name="Percent 50 2" xfId="4417" xr:uid="{00000000-0005-0000-0000-000041110000}"/>
    <cellStyle name="Percent 51" xfId="4418" xr:uid="{00000000-0005-0000-0000-000042110000}"/>
    <cellStyle name="Percent 52" xfId="4419" xr:uid="{00000000-0005-0000-0000-000043110000}"/>
    <cellStyle name="Percent 52 2" xfId="4420" xr:uid="{00000000-0005-0000-0000-000044110000}"/>
    <cellStyle name="Percent 53" xfId="4421" xr:uid="{00000000-0005-0000-0000-000045110000}"/>
    <cellStyle name="Percent 54" xfId="4422" xr:uid="{00000000-0005-0000-0000-000046110000}"/>
    <cellStyle name="Percent 6" xfId="4423" xr:uid="{00000000-0005-0000-0000-000047110000}"/>
    <cellStyle name="Percent 6 2" xfId="4424" xr:uid="{00000000-0005-0000-0000-000048110000}"/>
    <cellStyle name="Percent 7" xfId="4425" xr:uid="{00000000-0005-0000-0000-000049110000}"/>
    <cellStyle name="Percent 7 2" xfId="4426" xr:uid="{00000000-0005-0000-0000-00004A110000}"/>
    <cellStyle name="Percent 8" xfId="4427" xr:uid="{00000000-0005-0000-0000-00004B110000}"/>
    <cellStyle name="Percent 9" xfId="4428" xr:uid="{00000000-0005-0000-0000-00004C110000}"/>
    <cellStyle name="PERCENTAGE" xfId="4429" xr:uid="{00000000-0005-0000-0000-00004D110000}"/>
    <cellStyle name="pricing" xfId="4430" xr:uid="{00000000-0005-0000-0000-00004E110000}"/>
    <cellStyle name="PSChar" xfId="4431" xr:uid="{00000000-0005-0000-0000-00004F110000}"/>
    <cellStyle name="RevList" xfId="4432" xr:uid="{00000000-0005-0000-0000-000050110000}"/>
    <cellStyle name="Style 1" xfId="4433" xr:uid="{00000000-0005-0000-0000-000051110000}"/>
    <cellStyle name="Style 1 2" xfId="4434" xr:uid="{00000000-0005-0000-0000-000052110000}"/>
    <cellStyle name="Style 1 2 2" xfId="4435" xr:uid="{00000000-0005-0000-0000-000053110000}"/>
    <cellStyle name="Style 1 2 3" xfId="4436" xr:uid="{00000000-0005-0000-0000-000054110000}"/>
    <cellStyle name="Style 1 3" xfId="4437" xr:uid="{00000000-0005-0000-0000-000055110000}"/>
    <cellStyle name="Style 1 4" xfId="4438" xr:uid="{00000000-0005-0000-0000-000056110000}"/>
    <cellStyle name="Style 1 5" xfId="4439" xr:uid="{00000000-0005-0000-0000-000057110000}"/>
    <cellStyle name="Style 1 6" xfId="4440" xr:uid="{00000000-0005-0000-0000-000058110000}"/>
    <cellStyle name="Style 1 7" xfId="4441" xr:uid="{00000000-0005-0000-0000-000059110000}"/>
    <cellStyle name="Style 1 8" xfId="4442" xr:uid="{00000000-0005-0000-0000-00005A110000}"/>
    <cellStyle name="Style 1 9" xfId="4443" xr:uid="{00000000-0005-0000-0000-00005B110000}"/>
    <cellStyle name="Style 1_5th Week2" xfId="4444" xr:uid="{00000000-0005-0000-0000-00005C110000}"/>
    <cellStyle name="Style 2" xfId="4445" xr:uid="{00000000-0005-0000-0000-00005D110000}"/>
    <cellStyle name="Subtotal" xfId="4446" xr:uid="{00000000-0005-0000-0000-00005E110000}"/>
    <cellStyle name="Title 2" xfId="4447" xr:uid="{00000000-0005-0000-0000-00005F110000}"/>
    <cellStyle name="Total 2" xfId="4448" xr:uid="{00000000-0005-0000-0000-000060110000}"/>
    <cellStyle name="Warning Text 2" xfId="4449" xr:uid="{00000000-0005-0000-0000-000061110000}"/>
    <cellStyle name="강조색1" xfId="4450" xr:uid="{00000000-0005-0000-0000-000062110000}"/>
    <cellStyle name="강조색2" xfId="4451" xr:uid="{00000000-0005-0000-0000-000063110000}"/>
    <cellStyle name="강조색3" xfId="4452" xr:uid="{00000000-0005-0000-0000-000064110000}"/>
    <cellStyle name="강조색4" xfId="4453" xr:uid="{00000000-0005-0000-0000-000065110000}"/>
    <cellStyle name="강조색5" xfId="4454" xr:uid="{00000000-0005-0000-0000-000066110000}"/>
    <cellStyle name="강조색6" xfId="4455" xr:uid="{00000000-0005-0000-0000-000067110000}"/>
    <cellStyle name="경고문" xfId="4456" xr:uid="{00000000-0005-0000-0000-000068110000}"/>
    <cellStyle name="계산" xfId="4457" xr:uid="{00000000-0005-0000-0000-000069110000}"/>
    <cellStyle name="나쁨" xfId="4458" xr:uid="{00000000-0005-0000-0000-00006A110000}"/>
    <cellStyle name="메모" xfId="4459" xr:uid="{00000000-0005-0000-0000-00006B110000}"/>
    <cellStyle name="보통" xfId="4460" xr:uid="{00000000-0005-0000-0000-00006C110000}"/>
    <cellStyle name="설명 텍스트" xfId="4461" xr:uid="{00000000-0005-0000-0000-00006D110000}"/>
    <cellStyle name="셀 확인" xfId="4462" xr:uid="{00000000-0005-0000-0000-00006E110000}"/>
    <cellStyle name="쉼표 [0]_보고서-하청해외공장거래0724최종" xfId="4463" xr:uid="{00000000-0005-0000-0000-00006F110000}"/>
    <cellStyle name="쉼표_F06 DOWN weight list" xfId="4464" xr:uid="{00000000-0005-0000-0000-000070110000}"/>
    <cellStyle name="연결된 셀" xfId="4465" xr:uid="{00000000-0005-0000-0000-000071110000}"/>
    <cellStyle name="요약" xfId="4466" xr:uid="{00000000-0005-0000-0000-000072110000}"/>
    <cellStyle name="입력" xfId="4467" xr:uid="{00000000-0005-0000-0000-000073110000}"/>
    <cellStyle name="제목" xfId="4468" xr:uid="{00000000-0005-0000-0000-000074110000}"/>
    <cellStyle name="제목 1" xfId="4469" xr:uid="{00000000-0005-0000-0000-000075110000}"/>
    <cellStyle name="제목 2" xfId="4470" xr:uid="{00000000-0005-0000-0000-000076110000}"/>
    <cellStyle name="제목 3" xfId="4471" xr:uid="{00000000-0005-0000-0000-000077110000}"/>
    <cellStyle name="제목 4" xfId="4472" xr:uid="{00000000-0005-0000-0000-000078110000}"/>
    <cellStyle name="제목_Qingdao Youngone GSD Reduced report" xfId="4473" xr:uid="{00000000-0005-0000-0000-000079110000}"/>
    <cellStyle name="좋음" xfId="4474" xr:uid="{00000000-0005-0000-0000-00007A110000}"/>
    <cellStyle name="출력" xfId="4475" xr:uid="{00000000-0005-0000-0000-00007B110000}"/>
    <cellStyle name="콤마 [0]_02SS생산정리건(TNF)" xfId="4476" xr:uid="{00000000-0005-0000-0000-00007C110000}"/>
    <cellStyle name="표준 2" xfId="4477" xr:uid="{00000000-0005-0000-0000-00007D110000}"/>
    <cellStyle name="표준_2001_ordersts_0102" xfId="4478" xr:uid="{00000000-0005-0000-0000-00007E110000}"/>
    <cellStyle name="一般_PLDT" xfId="4479" xr:uid="{00000000-0005-0000-0000-00007F110000}"/>
    <cellStyle name="千位分隔[0]_Sheet1" xfId="4480" xr:uid="{00000000-0005-0000-0000-000080110000}"/>
    <cellStyle name="千位分隔_PLDT" xfId="4481" xr:uid="{00000000-0005-0000-0000-000081110000}"/>
    <cellStyle name="千分位_PLDT" xfId="4482" xr:uid="{00000000-0005-0000-0000-000082110000}"/>
    <cellStyle name="好" xfId="4483" xr:uid="{00000000-0005-0000-0000-000083110000}"/>
    <cellStyle name="差" xfId="4484" xr:uid="{00000000-0005-0000-0000-000084110000}"/>
    <cellStyle name="常规_AGCE-09 客供Down表" xfId="4485" xr:uid="{00000000-0005-0000-0000-000085110000}"/>
    <cellStyle name="强调文字颜色 1" xfId="4486" xr:uid="{00000000-0005-0000-0000-000086110000}"/>
    <cellStyle name="强调文字颜色 2" xfId="4487" xr:uid="{00000000-0005-0000-0000-000087110000}"/>
    <cellStyle name="强调文字颜色 3" xfId="4488" xr:uid="{00000000-0005-0000-0000-000088110000}"/>
    <cellStyle name="强调文字颜色 4" xfId="4489" xr:uid="{00000000-0005-0000-0000-000089110000}"/>
    <cellStyle name="强调文字颜色 5" xfId="4490" xr:uid="{00000000-0005-0000-0000-00008A110000}"/>
    <cellStyle name="强调文字颜色 6" xfId="4491" xr:uid="{00000000-0005-0000-0000-00008B110000}"/>
    <cellStyle name="标题" xfId="4492" xr:uid="{00000000-0005-0000-0000-00008C110000}"/>
    <cellStyle name="标题 1" xfId="4493" xr:uid="{00000000-0005-0000-0000-00008D110000}"/>
    <cellStyle name="标题 2" xfId="4494" xr:uid="{00000000-0005-0000-0000-00008E110000}"/>
    <cellStyle name="标题 3" xfId="4495" xr:uid="{00000000-0005-0000-0000-00008F110000}"/>
    <cellStyle name="标题 4" xfId="4496" xr:uid="{00000000-0005-0000-0000-000090110000}"/>
    <cellStyle name="样式 1" xfId="4497" xr:uid="{00000000-0005-0000-0000-000091110000}"/>
    <cellStyle name="检查单元格" xfId="4498" xr:uid="{00000000-0005-0000-0000-000092110000}"/>
    <cellStyle name="標準_S03 Price reduction Item order 1022" xfId="4499" xr:uid="{00000000-0005-0000-0000-000093110000}"/>
    <cellStyle name="標準_Sheet1" xfId="4512" xr:uid="{00000000-0005-0000-0000-000094110000}"/>
    <cellStyle name="汇总" xfId="4500" xr:uid="{00000000-0005-0000-0000-000095110000}"/>
    <cellStyle name="注释" xfId="4501" xr:uid="{00000000-0005-0000-0000-000096110000}"/>
    <cellStyle name="百分比_GMC SMV REDUCTION" xfId="4502" xr:uid="{00000000-0005-0000-0000-000097110000}"/>
    <cellStyle name="解释性文本" xfId="4503" xr:uid="{00000000-0005-0000-0000-000098110000}"/>
    <cellStyle name="警告文本" xfId="4504" xr:uid="{00000000-0005-0000-0000-000099110000}"/>
    <cellStyle name="计算" xfId="4505" xr:uid="{00000000-0005-0000-0000-00009A110000}"/>
    <cellStyle name="貨幣_PLDT" xfId="4506" xr:uid="{00000000-0005-0000-0000-00009B110000}"/>
    <cellStyle name="货币_PLDT" xfId="4507" xr:uid="{00000000-0005-0000-0000-00009C110000}"/>
    <cellStyle name="输入" xfId="4508" xr:uid="{00000000-0005-0000-0000-00009D110000}"/>
    <cellStyle name="输出" xfId="4509" xr:uid="{00000000-0005-0000-0000-00009E110000}"/>
    <cellStyle name="适中" xfId="4510" xr:uid="{00000000-0005-0000-0000-00009F110000}"/>
    <cellStyle name="链接单元格" xfId="4511" xr:uid="{00000000-0005-0000-0000-0000A01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5 defects percentage</a:t>
            </a:r>
          </a:p>
        </c:rich>
      </c:tx>
      <c:layout>
        <c:manualLayout>
          <c:xMode val="edge"/>
          <c:yMode val="edge"/>
          <c:x val="5.5051407073281503E-2"/>
          <c:y val="4.966834452674668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8349962026718424E-2"/>
          <c:y val="0.18491120790752269"/>
          <c:w val="0.44448088678160691"/>
          <c:h val="0.7530166973809127"/>
        </c:manualLayout>
      </c:layout>
      <c:pieChart>
        <c:varyColors val="1"/>
        <c:ser>
          <c:idx val="0"/>
          <c:order val="0"/>
          <c:explosion val="5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Analysis!$D$20:$D$24</c:f>
              <c:numCache>
                <c:formatCode>General</c:formatCode>
                <c:ptCount val="5"/>
              </c:numCache>
            </c:numRef>
          </c:cat>
          <c:val>
            <c:numRef>
              <c:f>Analysis!$F$20:$F$24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2C93-4101-8DE5-81C810B313E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8256937375729886"/>
          <c:y val="3.28770871726142E-2"/>
          <c:w val="0.50529318537817691"/>
          <c:h val="0.93351454738370454"/>
        </c:manualLayout>
      </c:layout>
      <c:overlay val="0"/>
      <c:txPr>
        <a:bodyPr/>
        <a:lstStyle/>
        <a:p>
          <a:pPr rtl="0">
            <a:defRPr sz="1000"/>
          </a:pPr>
          <a:endParaRPr lang="en-US"/>
        </a:p>
      </c:txPr>
    </c:legend>
    <c:plotVisOnly val="1"/>
    <c:dispBlanksAs val="zero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5 defects percentage</a:t>
            </a:r>
          </a:p>
        </c:rich>
      </c:tx>
      <c:layout>
        <c:manualLayout>
          <c:xMode val="edge"/>
          <c:yMode val="edge"/>
          <c:x val="3.7920530492723072E-2"/>
          <c:y val="1.223689651243910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8349962026718424E-2"/>
          <c:y val="0.18491120790752269"/>
          <c:w val="0.44448088678160691"/>
          <c:h val="0.7530166973809127"/>
        </c:manualLayout>
      </c:layout>
      <c:pieChart>
        <c:varyColors val="1"/>
        <c:ser>
          <c:idx val="0"/>
          <c:order val="0"/>
          <c:explosion val="5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Analysis!$D$10:$D$14</c:f>
              <c:numCache>
                <c:formatCode>General</c:formatCode>
                <c:ptCount val="5"/>
              </c:numCache>
            </c:numRef>
          </c:cat>
          <c:val>
            <c:numRef>
              <c:f>Analysis!$F$10:$F$14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A66E-405F-8821-F9D9C503A6E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8256937375729886"/>
          <c:y val="3.28770871726142E-2"/>
          <c:w val="0.50529318537817691"/>
          <c:h val="0.93351454738370454"/>
        </c:manualLayout>
      </c:layout>
      <c:overlay val="0"/>
      <c:txPr>
        <a:bodyPr/>
        <a:lstStyle/>
        <a:p>
          <a:pPr rtl="0">
            <a:defRPr sz="1000"/>
          </a:pPr>
          <a:endParaRPr lang="en-US"/>
        </a:p>
      </c:txPr>
    </c:legend>
    <c:plotVisOnly val="1"/>
    <c:dispBlanksAs val="zero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5 defects percentage</a:t>
            </a:r>
          </a:p>
        </c:rich>
      </c:tx>
      <c:layout>
        <c:manualLayout>
          <c:xMode val="edge"/>
          <c:yMode val="edge"/>
          <c:x val="5.5051407073281503E-2"/>
          <c:y val="4.966834452674668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8349962026718424E-2"/>
          <c:y val="0.18491120790752269"/>
          <c:w val="0.44448088678160691"/>
          <c:h val="0.7530166973809127"/>
        </c:manualLayout>
      </c:layout>
      <c:pieChart>
        <c:varyColors val="1"/>
        <c:ser>
          <c:idx val="0"/>
          <c:order val="0"/>
          <c:explosion val="5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Analysis!$D$20:$D$24</c:f>
              <c:numCache>
                <c:formatCode>General</c:formatCode>
                <c:ptCount val="5"/>
              </c:numCache>
            </c:numRef>
          </c:cat>
          <c:val>
            <c:numRef>
              <c:f>Analysis!$F$20:$F$24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AA7A-4D36-8738-2CDF6A54E76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8256937375729886"/>
          <c:y val="3.28770871726142E-2"/>
          <c:w val="0.50529318537817691"/>
          <c:h val="0.93351454738370454"/>
        </c:manualLayout>
      </c:layout>
      <c:overlay val="0"/>
      <c:txPr>
        <a:bodyPr/>
        <a:lstStyle/>
        <a:p>
          <a:pPr rtl="0">
            <a:defRPr sz="1000"/>
          </a:pPr>
          <a:endParaRPr lang="en-US"/>
        </a:p>
      </c:txPr>
    </c:legend>
    <c:plotVisOnly val="1"/>
    <c:dispBlanksAs val="zero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5567196940687927E-2"/>
          <c:y val="9.0784237388941688E-2"/>
          <c:w val="0.96751609928405857"/>
          <c:h val="0.5388364753979357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'Analysis(100%)'!$I$2:$AQ$2</c:f>
              <c:strCache>
                <c:ptCount val="35"/>
                <c:pt idx="0">
                  <c:v>1.Nep, Slub, Plunge</c:v>
                </c:pt>
                <c:pt idx="1">
                  <c:v>2.Holes, Scratch, Broken</c:v>
                </c:pt>
                <c:pt idx="2">
                  <c:v>3.Color Shading, Color Difference</c:v>
                </c:pt>
                <c:pt idx="3">
                  <c:v>4.Bad Handfeel, Bad Surface</c:v>
                </c:pt>
                <c:pt idx="4">
                  <c:v>5.Yarn Slanting</c:v>
                </c:pt>
                <c:pt idx="5">
                  <c:v>6.Bad Smell</c:v>
                </c:pt>
                <c:pt idx="6">
                  <c:v>7.Bad Form, Uneven, Unbalance</c:v>
                </c:pt>
                <c:pt idx="7">
                  <c:v>8.Checked Mismatched, Bad Embroidery, Print Problem</c:v>
                </c:pt>
                <c:pt idx="8">
                  <c:v>9.Crawling , Twisting, Wrinkle</c:v>
                </c:pt>
                <c:pt idx="9">
                  <c:v>10.Puckering, Folding line</c:v>
                </c:pt>
                <c:pt idx="10">
                  <c:v>11.Broken Seam</c:v>
                </c:pt>
                <c:pt idx="11">
                  <c:v>12.Broken Fabric Yarn</c:v>
                </c:pt>
                <c:pt idx="12">
                  <c:v>13.Bad Stretch</c:v>
                </c:pt>
                <c:pt idx="13">
                  <c:v>14.Wrong Thread Density, Thread Tension Defect</c:v>
                </c:pt>
                <c:pt idx="14">
                  <c:v>15.Bad Sewing, Missing stitch, Dropped Sewing</c:v>
                </c:pt>
                <c:pt idx="15">
                  <c:v>16.Needle Hole, Bad Seam Connection</c:v>
                </c:pt>
                <c:pt idx="16">
                  <c:v>17.Exposed</c:v>
                </c:pt>
                <c:pt idx="17">
                  <c:v>18.Skipped Stitch</c:v>
                </c:pt>
                <c:pt idx="18">
                  <c:v>19.Joining Seam, Pleated</c:v>
                </c:pt>
                <c:pt idx="19">
                  <c:v>20.Lacked Sewing, Missing Bartack</c:v>
                </c:pt>
                <c:pt idx="20">
                  <c:v>21.Bad Reinforce Stitch</c:v>
                </c:pt>
                <c:pt idx="21">
                  <c:v>22.Bad Quality (Dropped Color, Burr, Rust, Stain)</c:v>
                </c:pt>
                <c:pt idx="22">
                  <c:v>23.Bad Attach( Bad Form, Broken, Distortion) </c:v>
                </c:pt>
                <c:pt idx="23">
                  <c:v>24.Lacked Attaching, Drop Out</c:v>
                </c:pt>
                <c:pt idx="24">
                  <c:v>25.Attached At Wrong Position, Wrong Items</c:v>
                </c:pt>
                <c:pt idx="25">
                  <c:v>26.Poorly Functioning</c:v>
                </c:pt>
                <c:pt idx="26">
                  <c:v>27.Bad Thread Trimming, Thread End Left</c:v>
                </c:pt>
                <c:pt idx="27">
                  <c:v>28.Stain, Blotch</c:v>
                </c:pt>
                <c:pt idx="28">
                  <c:v>29.Bad Form, Uneven</c:v>
                </c:pt>
                <c:pt idx="29">
                  <c:v>30.Shining, Wrinkle</c:v>
                </c:pt>
                <c:pt idx="30">
                  <c:v>31.Bad Washing (Color, Handfeeling）</c:v>
                </c:pt>
                <c:pt idx="31">
                  <c:v>32.Wrong Measurement</c:v>
                </c:pt>
                <c:pt idx="32">
                  <c:v>33.Bad Packing</c:v>
                </c:pt>
                <c:pt idx="33">
                  <c:v>34.Wrong Quantity Packed</c:v>
                </c:pt>
                <c:pt idx="34">
                  <c:v>35.Others</c:v>
                </c:pt>
              </c:strCache>
            </c:strRef>
          </c:cat>
          <c:val>
            <c:numRef>
              <c:f>'Analysis(100%)'!$I$3:$AQ$3</c:f>
              <c:numCache>
                <c:formatCode>0.00%</c:formatCode>
                <c:ptCount val="35"/>
                <c:pt idx="0">
                  <c:v>3.8200048381913832E-3</c:v>
                </c:pt>
                <c:pt idx="1">
                  <c:v>1.6355975346887491E-3</c:v>
                </c:pt>
                <c:pt idx="2">
                  <c:v>2.8884724674414995E-5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8.0516170029931798E-4</c:v>
                </c:pt>
                <c:pt idx="7">
                  <c:v>0</c:v>
                </c:pt>
                <c:pt idx="8">
                  <c:v>0</c:v>
                </c:pt>
                <c:pt idx="9">
                  <c:v>2.5887934489444439E-3</c:v>
                </c:pt>
                <c:pt idx="10">
                  <c:v>9.3550402039261557E-3</c:v>
                </c:pt>
                <c:pt idx="11">
                  <c:v>2.1663543505811245E-5</c:v>
                </c:pt>
                <c:pt idx="12">
                  <c:v>3.3217433375577244E-4</c:v>
                </c:pt>
                <c:pt idx="13">
                  <c:v>5.7769449348829991E-5</c:v>
                </c:pt>
                <c:pt idx="14">
                  <c:v>2.2024602564241435E-3</c:v>
                </c:pt>
                <c:pt idx="15">
                  <c:v>2.4552015973252744E-4</c:v>
                </c:pt>
                <c:pt idx="16">
                  <c:v>2.7440488440694244E-4</c:v>
                </c:pt>
                <c:pt idx="17">
                  <c:v>4.5168488209616445E-3</c:v>
                </c:pt>
                <c:pt idx="18">
                  <c:v>1.6319869441044472E-3</c:v>
                </c:pt>
                <c:pt idx="19">
                  <c:v>2.527413409011312E-5</c:v>
                </c:pt>
                <c:pt idx="20">
                  <c:v>0</c:v>
                </c:pt>
                <c:pt idx="21">
                  <c:v>0</c:v>
                </c:pt>
                <c:pt idx="22">
                  <c:v>1.5164480454067872E-4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2.0569534558767779E-2</c:v>
                </c:pt>
                <c:pt idx="27">
                  <c:v>6.5135054140805808E-3</c:v>
                </c:pt>
                <c:pt idx="28">
                  <c:v>0</c:v>
                </c:pt>
                <c:pt idx="29">
                  <c:v>4.5493441362203614E-4</c:v>
                </c:pt>
                <c:pt idx="30">
                  <c:v>1.0109653636045247E-3</c:v>
                </c:pt>
                <c:pt idx="31">
                  <c:v>4.332708701162249E-5</c:v>
                </c:pt>
                <c:pt idx="32">
                  <c:v>0</c:v>
                </c:pt>
                <c:pt idx="33">
                  <c:v>0</c:v>
                </c:pt>
                <c:pt idx="34">
                  <c:v>2.0580366330520683E-4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8-4F30-84F0-92FE842B9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152000"/>
        <c:axId val="97153792"/>
      </c:barChart>
      <c:catAx>
        <c:axId val="97152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7153792"/>
        <c:crosses val="autoZero"/>
        <c:auto val="1"/>
        <c:lblAlgn val="ctr"/>
        <c:lblOffset val="100"/>
        <c:noMultiLvlLbl val="0"/>
      </c:catAx>
      <c:valAx>
        <c:axId val="971537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715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5567196940687927E-2"/>
          <c:y val="9.0784237388941688E-2"/>
          <c:w val="0.96751609928405857"/>
          <c:h val="0.5388364753979357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'Analysis(Final)'!$J$2:$AT$2</c:f>
              <c:strCache>
                <c:ptCount val="37"/>
                <c:pt idx="0">
                  <c:v>1.Nep, Slub, Fly</c:v>
                </c:pt>
                <c:pt idx="1">
                  <c:v>2.Holes, scratches, tears</c:v>
                </c:pt>
                <c:pt idx="2">
                  <c:v>3.Uneven Dyeing, Color shading,warp/weft streak</c:v>
                </c:pt>
                <c:pt idx="3">
                  <c:v>4.Poor Texture, Bad handfeel, Bad surface </c:v>
                </c:pt>
                <c:pt idx="4">
                  <c:v>5.Skew</c:v>
                </c:pt>
                <c:pt idx="5">
                  <c:v>6.Bad smell/ Odor</c:v>
                </c:pt>
                <c:pt idx="6">
                  <c:v>7.Other</c:v>
                </c:pt>
                <c:pt idx="7">
                  <c:v>8.Poor Shape (Bad form), non-symmetrical, dislocation</c:v>
                </c:pt>
                <c:pt idx="8">
                  <c:v>9.Poor Joining of pattern/ Poor print/embroidery</c:v>
                </c:pt>
                <c:pt idx="9">
                  <c:v>10.Staggered seams,spirality,wrinkles</c:v>
                </c:pt>
                <c:pt idx="10">
                  <c:v>11.Puckering, gathered stitching</c:v>
                </c:pt>
                <c:pt idx="11">
                  <c:v>12.Broken Stitches/ Broken Seam</c:v>
                </c:pt>
                <c:pt idx="12">
                  <c:v>13.Broken Material ( From Stitching)</c:v>
                </c:pt>
                <c:pt idx="13">
                  <c:v>14.Insufficient stretch in seams</c:v>
                </c:pt>
                <c:pt idx="14">
                  <c:v>15.Poor stitch length, poor thred tension</c:v>
                </c:pt>
                <c:pt idx="15">
                  <c:v>16.Insufficient seam allowance, run-off stitches</c:v>
                </c:pt>
                <c:pt idx="16">
                  <c:v>17.Needle marks, restitched seams</c:v>
                </c:pt>
                <c:pt idx="17">
                  <c:v>18.Exposed lining</c:v>
                </c:pt>
                <c:pt idx="18">
                  <c:v>19.Skipped stitches</c:v>
                </c:pt>
                <c:pt idx="19">
                  <c:v>20.Sewn by mistake, puckered seams,pleated</c:v>
                </c:pt>
                <c:pt idx="20">
                  <c:v>21.Missing stitches, missing bartacks</c:v>
                </c:pt>
                <c:pt idx="21">
                  <c:v>22.Insufficient strength /Bad reinforce stitch</c:v>
                </c:pt>
                <c:pt idx="22">
                  <c:v>23.Other</c:v>
                </c:pt>
                <c:pt idx="23">
                  <c:v>24.Poor Quality (faded,burred,rusty,dirty)</c:v>
                </c:pt>
                <c:pt idx="24">
                  <c:v>25.Poorly attached trim (deformed,damaged)</c:v>
                </c:pt>
                <c:pt idx="25">
                  <c:v>26.Missing Trim ( detached)</c:v>
                </c:pt>
                <c:pt idx="26">
                  <c:v>27.Misplaced/ incorrect trim</c:v>
                </c:pt>
                <c:pt idx="27">
                  <c:v>28.Poorly functioning</c:v>
                </c:pt>
                <c:pt idx="28">
                  <c:v>29.Bad thread trimming ,lint ( thread end left)</c:v>
                </c:pt>
                <c:pt idx="29">
                  <c:v>30.Dirty, Stains</c:v>
                </c:pt>
                <c:pt idx="30">
                  <c:v>31.Poor shape, Bad form, non-symmetrical</c:v>
                </c:pt>
                <c:pt idx="31">
                  <c:v>32.Shining mark, wrinkles</c:v>
                </c:pt>
                <c:pt idx="32">
                  <c:v>33.Poor wash Treatment</c:v>
                </c:pt>
                <c:pt idx="33">
                  <c:v>34.Poor Measurment /wrong Measurement</c:v>
                </c:pt>
                <c:pt idx="34">
                  <c:v>35.Poor Packaging</c:v>
                </c:pt>
                <c:pt idx="35">
                  <c:v>36.Wrong quantity Packed</c:v>
                </c:pt>
                <c:pt idx="36">
                  <c:v>37Other</c:v>
                </c:pt>
              </c:strCache>
            </c:strRef>
          </c:cat>
          <c:val>
            <c:numRef>
              <c:f>'Analysis(Final)'!$J$3:$AT$3</c:f>
              <c:numCache>
                <c:formatCode>0.00%</c:formatCode>
                <c:ptCount val="37"/>
                <c:pt idx="0">
                  <c:v>5.6277056277056281E-3</c:v>
                </c:pt>
                <c:pt idx="1">
                  <c:v>3.4632034632034632E-3</c:v>
                </c:pt>
                <c:pt idx="2">
                  <c:v>1.0822510822510823E-3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4.329004329004329E-4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1.3636363636363636E-2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4.1125541125541128E-3</c:v>
                </c:pt>
                <c:pt idx="16">
                  <c:v>2.1645021645021645E-4</c:v>
                </c:pt>
                <c:pt idx="17">
                  <c:v>0</c:v>
                </c:pt>
                <c:pt idx="18">
                  <c:v>4.5454545454545452E-3</c:v>
                </c:pt>
                <c:pt idx="19">
                  <c:v>8.658008658008658E-4</c:v>
                </c:pt>
                <c:pt idx="20">
                  <c:v>4.329004329004329E-4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8.658008658008658E-4</c:v>
                </c:pt>
                <c:pt idx="27">
                  <c:v>0</c:v>
                </c:pt>
                <c:pt idx="28">
                  <c:v>1.038961038961039E-2</c:v>
                </c:pt>
                <c:pt idx="29">
                  <c:v>6.7099567099567102E-3</c:v>
                </c:pt>
                <c:pt idx="30">
                  <c:v>2.1645021645021645E-4</c:v>
                </c:pt>
                <c:pt idx="31">
                  <c:v>0</c:v>
                </c:pt>
                <c:pt idx="32">
                  <c:v>1.9480519480519481E-3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4.329004329004329E-4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E-4DBE-8988-3ACEE8745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27072"/>
        <c:axId val="97595392"/>
      </c:barChart>
      <c:catAx>
        <c:axId val="97827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7595392"/>
        <c:crosses val="autoZero"/>
        <c:auto val="1"/>
        <c:lblAlgn val="ctr"/>
        <c:lblOffset val="100"/>
        <c:noMultiLvlLbl val="0"/>
      </c:catAx>
      <c:valAx>
        <c:axId val="9759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7827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5567196940687927E-2"/>
          <c:y val="9.0784237388941688E-2"/>
          <c:w val="0.96751609928405857"/>
          <c:h val="0.5388364753979357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'Analysis(Re-Final)'!$J$2:$CI$2</c:f>
              <c:strCache>
                <c:ptCount val="78"/>
                <c:pt idx="0">
                  <c:v>1.Damage</c:v>
                </c:pt>
                <c:pt idx="1">
                  <c:v>2.Needle breakage defect</c:v>
                </c:pt>
                <c:pt idx="2">
                  <c:v>3.Hole, tear</c:v>
                </c:pt>
                <c:pt idx="3">
                  <c:v>4.NEP</c:v>
                </c:pt>
                <c:pt idx="4">
                  <c:v>5.SLUB</c:v>
                </c:pt>
                <c:pt idx="5">
                  <c:v>6.Weft defect</c:v>
                </c:pt>
                <c:pt idx="6">
                  <c:v>7.Unexpected things interwoven</c:v>
                </c:pt>
                <c:pt idx="7">
                  <c:v>8.Bowing</c:v>
                </c:pt>
                <c:pt idx="8">
                  <c:v>9.Odor</c:v>
                </c:pt>
                <c:pt idx="9">
                  <c:v>10.Uneven dyeing</c:v>
                </c:pt>
                <c:pt idx="10">
                  <c:v>11.Texture, surface defect</c:v>
                </c:pt>
                <c:pt idx="11">
                  <c:v>12.Warp and weft defect</c:v>
                </c:pt>
                <c:pt idx="12">
                  <c:v>13.Yarn severance</c:v>
                </c:pt>
                <c:pt idx="13">
                  <c:v>1.Hue difference</c:v>
                </c:pt>
                <c:pt idx="14">
                  <c:v>2.Unevenness</c:v>
                </c:pt>
                <c:pt idx="15">
                  <c:v>3.Pieces not symmetrical</c:v>
                </c:pt>
                <c:pt idx="16">
                  <c:v>4.Deformation (Defect in shape)</c:v>
                </c:pt>
                <c:pt idx="17">
                  <c:v>5.Tight or loose part of fabric</c:v>
                </c:pt>
                <c:pt idx="18">
                  <c:v>6.Uneven seam</c:v>
                </c:pt>
                <c:pt idx="19">
                  <c:v>7.Spiralty, wrinkle</c:v>
                </c:pt>
                <c:pt idx="20">
                  <c:v>8.PUCKERING</c:v>
                </c:pt>
                <c:pt idx="21">
                  <c:v>9.Corrugation</c:v>
                </c:pt>
                <c:pt idx="22">
                  <c:v>10.Thread breakage</c:v>
                </c:pt>
                <c:pt idx="23">
                  <c:v>11.Lack of elasticity</c:v>
                </c:pt>
                <c:pt idx="24">
                  <c:v>12.Incorrect stitching number</c:v>
                </c:pt>
                <c:pt idx="25">
                  <c:v>13.Stitches out of seam allowance</c:v>
                </c:pt>
                <c:pt idx="26">
                  <c:v>14.Missing stitch</c:v>
                </c:pt>
                <c:pt idx="27">
                  <c:v>15.Lack of seam allowance</c:v>
                </c:pt>
                <c:pt idx="28">
                  <c:v>16.Unexpected tuck</c:v>
                </c:pt>
                <c:pt idx="29">
                  <c:v>17.Unexpected fullness</c:v>
                </c:pt>
                <c:pt idx="30">
                  <c:v>18.Needle mark</c:v>
                </c:pt>
                <c:pt idx="31">
                  <c:v>19.Sewing defects caused by machine</c:v>
                </c:pt>
                <c:pt idx="32">
                  <c:v>20.Incorrect size of lining</c:v>
                </c:pt>
                <c:pt idx="33">
                  <c:v>21.Skipped stitch</c:v>
                </c:pt>
                <c:pt idx="34">
                  <c:v>22.Sewing involving unexpected parts</c:v>
                </c:pt>
                <c:pt idx="35">
                  <c:v>23.Missing sewing process</c:v>
                </c:pt>
                <c:pt idx="36">
                  <c:v>24.Mislocated bar-tack</c:v>
                </c:pt>
                <c:pt idx="37">
                  <c:v>25.Incorrect thread tension</c:v>
                </c:pt>
                <c:pt idx="38">
                  <c:v>26.Falling off of a thread</c:v>
                </c:pt>
                <c:pt idx="39">
                  <c:v>27.Lack of reverse stitch</c:v>
                </c:pt>
                <c:pt idx="40">
                  <c:v>28.Incorrect easing</c:v>
                </c:pt>
                <c:pt idx="41">
                  <c:v>29.Piecing defect</c:v>
                </c:pt>
                <c:pt idx="42">
                  <c:v>30.Incorrect lapped seam</c:v>
                </c:pt>
                <c:pt idx="43">
                  <c:v>31.Incorrect trimming</c:v>
                </c:pt>
                <c:pt idx="44">
                  <c:v>32.Lack of strength</c:v>
                </c:pt>
                <c:pt idx="45">
                  <c:v>33.Incorrect buttonhole sewing</c:v>
                </c:pt>
                <c:pt idx="46">
                  <c:v>34.Incorrect brand label sewing</c:v>
                </c:pt>
                <c:pt idx="47">
                  <c:v>35.Sewing slip</c:v>
                </c:pt>
                <c:pt idx="48">
                  <c:v>36.Incorrect position</c:v>
                </c:pt>
                <c:pt idx="49">
                  <c:v>37.Incorrect pattern matching</c:v>
                </c:pt>
                <c:pt idx="50">
                  <c:v>38.Peel off glue/delamination</c:v>
                </c:pt>
                <c:pt idx="51">
                  <c:v>39.Visible/see through glue</c:v>
                </c:pt>
                <c:pt idx="52">
                  <c:v>40.Bonding seam uneven/wavy</c:v>
                </c:pt>
                <c:pt idx="53">
                  <c:v>41.Bonding seam not catch up/bad selvaged</c:v>
                </c:pt>
                <c:pt idx="54">
                  <c:v>42.Stick glue/leaking glue</c:v>
                </c:pt>
                <c:pt idx="55">
                  <c:v>43.Mold Shape</c:v>
                </c:pt>
                <c:pt idx="56">
                  <c:v>44.Poor application glue position</c:v>
                </c:pt>
                <c:pt idx="57">
                  <c:v>1.Unsecured rivet and snap buttons</c:v>
                </c:pt>
                <c:pt idx="58">
                  <c:v>2.Incorrect swaging</c:v>
                </c:pt>
                <c:pt idx="59">
                  <c:v>3.Falling off of buttons</c:v>
                </c:pt>
                <c:pt idx="60">
                  <c:v>4.Burr</c:v>
                </c:pt>
                <c:pt idx="61">
                  <c:v>5.Incorrect zippers</c:v>
                </c:pt>
                <c:pt idx="62">
                  <c:v>6.Incorrect indication of sub materials</c:v>
                </c:pt>
                <c:pt idx="63">
                  <c:v>7.Incorrect quality of materials</c:v>
                </c:pt>
                <c:pt idx="64">
                  <c:v>8.Missing accessories</c:v>
                </c:pt>
                <c:pt idx="65">
                  <c:v>9.Adhesive interlining</c:v>
                </c:pt>
                <c:pt idx="66">
                  <c:v>1.Dust, lint</c:v>
                </c:pt>
                <c:pt idx="67">
                  <c:v>2.Smear, stain</c:v>
                </c:pt>
                <c:pt idx="68">
                  <c:v>3.Size</c:v>
                </c:pt>
                <c:pt idx="69">
                  <c:v>4.Peel off and misalignment of prints</c:v>
                </c:pt>
                <c:pt idx="70">
                  <c:v>5.Pressure mark</c:v>
                </c:pt>
                <c:pt idx="71">
                  <c:v>6.Wash finish</c:v>
                </c:pt>
                <c:pt idx="72">
                  <c:v>1.Thread</c:v>
                </c:pt>
                <c:pt idx="73">
                  <c:v>2.Hazardous object/ foreign bodies</c:v>
                </c:pt>
                <c:pt idx="74">
                  <c:v>3.Odor</c:v>
                </c:pt>
                <c:pt idx="75">
                  <c:v>1.Bad packing</c:v>
                </c:pt>
                <c:pt idx="76">
                  <c:v>2.Wrong quantity packed</c:v>
                </c:pt>
                <c:pt idx="77">
                  <c:v>3.Others</c:v>
                </c:pt>
              </c:strCache>
            </c:strRef>
          </c:cat>
          <c:val>
            <c:numRef>
              <c:f>'Analysis(Re-Final)'!$J$3:$CI$3</c:f>
              <c:numCache>
                <c:formatCode>0.00%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6.0000000000000001E-3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2E-3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8.0000000000000002E-3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6.0000000000000001E-3</c:v>
                </c:pt>
                <c:pt idx="68">
                  <c:v>0.1</c:v>
                </c:pt>
                <c:pt idx="69">
                  <c:v>0.12</c:v>
                </c:pt>
                <c:pt idx="70">
                  <c:v>0.14000000000000001</c:v>
                </c:pt>
                <c:pt idx="71">
                  <c:v>0.16</c:v>
                </c:pt>
                <c:pt idx="72">
                  <c:v>2E-3</c:v>
                </c:pt>
                <c:pt idx="73">
                  <c:v>0.08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4-4A51-BE20-B85EB1B6E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637504"/>
        <c:axId val="97639040"/>
      </c:barChart>
      <c:catAx>
        <c:axId val="97637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7639040"/>
        <c:crosses val="autoZero"/>
        <c:auto val="1"/>
        <c:lblAlgn val="ctr"/>
        <c:lblOffset val="100"/>
        <c:noMultiLvlLbl val="0"/>
      </c:catAx>
      <c:valAx>
        <c:axId val="976390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7637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5567196940687927E-2"/>
          <c:y val="9.0784237388941688E-2"/>
          <c:w val="0.96751609928405857"/>
          <c:h val="0.5388364753979357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'Analysis(100% Final)'!$J$2:$CI$2</c:f>
              <c:strCache>
                <c:ptCount val="78"/>
                <c:pt idx="0">
                  <c:v>1.Damage</c:v>
                </c:pt>
                <c:pt idx="1">
                  <c:v>2.Needle breakage defect</c:v>
                </c:pt>
                <c:pt idx="2">
                  <c:v>3.Hole, tear</c:v>
                </c:pt>
                <c:pt idx="3">
                  <c:v>4.NEP</c:v>
                </c:pt>
                <c:pt idx="4">
                  <c:v>5.SLUB</c:v>
                </c:pt>
                <c:pt idx="5">
                  <c:v>6.Weft defect</c:v>
                </c:pt>
                <c:pt idx="6">
                  <c:v>7.Unexpected things interwoven</c:v>
                </c:pt>
                <c:pt idx="7">
                  <c:v>8.Bowing</c:v>
                </c:pt>
                <c:pt idx="8">
                  <c:v>9.Odor</c:v>
                </c:pt>
                <c:pt idx="9">
                  <c:v>10.Uneven dyeing</c:v>
                </c:pt>
                <c:pt idx="10">
                  <c:v>11.Texture, surface defect</c:v>
                </c:pt>
                <c:pt idx="11">
                  <c:v>12.Warp and weft defect</c:v>
                </c:pt>
                <c:pt idx="12">
                  <c:v>13.Yarn severance</c:v>
                </c:pt>
                <c:pt idx="13">
                  <c:v>1.Hue difference</c:v>
                </c:pt>
                <c:pt idx="14">
                  <c:v>2.Unevenness</c:v>
                </c:pt>
                <c:pt idx="15">
                  <c:v>3.Pieces not symmetrical</c:v>
                </c:pt>
                <c:pt idx="16">
                  <c:v>4.Deformation (Defect in shape)</c:v>
                </c:pt>
                <c:pt idx="17">
                  <c:v>5.Tight or loose part of fabric</c:v>
                </c:pt>
                <c:pt idx="18">
                  <c:v>6.Uneven seam</c:v>
                </c:pt>
                <c:pt idx="19">
                  <c:v>7.Spiralty, wrinkle</c:v>
                </c:pt>
                <c:pt idx="20">
                  <c:v>8.PUCKERING</c:v>
                </c:pt>
                <c:pt idx="21">
                  <c:v>9.Corrugation</c:v>
                </c:pt>
                <c:pt idx="22">
                  <c:v>10.Thread breakage</c:v>
                </c:pt>
                <c:pt idx="23">
                  <c:v>11.Lack of elasticity</c:v>
                </c:pt>
                <c:pt idx="24">
                  <c:v>12.Incorrect stitching number</c:v>
                </c:pt>
                <c:pt idx="25">
                  <c:v>13.Stitches out of seam allowance</c:v>
                </c:pt>
                <c:pt idx="26">
                  <c:v>14.Missing stitch</c:v>
                </c:pt>
                <c:pt idx="27">
                  <c:v>15.Lack of seam allowance</c:v>
                </c:pt>
                <c:pt idx="28">
                  <c:v>16.Unexpected tuck</c:v>
                </c:pt>
                <c:pt idx="29">
                  <c:v>17.Unexpected fullness</c:v>
                </c:pt>
                <c:pt idx="30">
                  <c:v>18.Needle mark</c:v>
                </c:pt>
                <c:pt idx="31">
                  <c:v>19.Sewing defects caused by machine</c:v>
                </c:pt>
                <c:pt idx="32">
                  <c:v>20.Incorrect size of lining</c:v>
                </c:pt>
                <c:pt idx="33">
                  <c:v>21.Skipped stitch</c:v>
                </c:pt>
                <c:pt idx="34">
                  <c:v>22.Sewing involving unexpected parts</c:v>
                </c:pt>
                <c:pt idx="35">
                  <c:v>23.Missing sewing process</c:v>
                </c:pt>
                <c:pt idx="36">
                  <c:v>24.Mislocated bar-tack</c:v>
                </c:pt>
                <c:pt idx="37">
                  <c:v>25.Incorrect thread tension</c:v>
                </c:pt>
                <c:pt idx="38">
                  <c:v>26.Falling off of a thread</c:v>
                </c:pt>
                <c:pt idx="39">
                  <c:v>27.Lack of reverse stitch</c:v>
                </c:pt>
                <c:pt idx="40">
                  <c:v>28.Incorrect easing</c:v>
                </c:pt>
                <c:pt idx="41">
                  <c:v>29.Piecing defect</c:v>
                </c:pt>
                <c:pt idx="42">
                  <c:v>30.Incorrect lapped seam</c:v>
                </c:pt>
                <c:pt idx="43">
                  <c:v>31.Incorrect trimming</c:v>
                </c:pt>
                <c:pt idx="44">
                  <c:v>32.Lack of strength</c:v>
                </c:pt>
                <c:pt idx="45">
                  <c:v>33.Incorrect buttonhole sewing</c:v>
                </c:pt>
                <c:pt idx="46">
                  <c:v>34.Incorrect brand label sewing</c:v>
                </c:pt>
                <c:pt idx="47">
                  <c:v>35.Sewing slip</c:v>
                </c:pt>
                <c:pt idx="48">
                  <c:v>36.Incorrect position</c:v>
                </c:pt>
                <c:pt idx="49">
                  <c:v>37.Incorrect pattern matching</c:v>
                </c:pt>
                <c:pt idx="50">
                  <c:v>38.Peel off glue/delamination</c:v>
                </c:pt>
                <c:pt idx="51">
                  <c:v>39.Visible/see through glue</c:v>
                </c:pt>
                <c:pt idx="52">
                  <c:v>40.Bonding seam uneven/wavy</c:v>
                </c:pt>
                <c:pt idx="53">
                  <c:v>41.Bonding seam not catch up/bad selvaged</c:v>
                </c:pt>
                <c:pt idx="54">
                  <c:v>42.Stick glue/leaking glue</c:v>
                </c:pt>
                <c:pt idx="55">
                  <c:v>43.Mold Shape</c:v>
                </c:pt>
                <c:pt idx="56">
                  <c:v>44.Poor application glue position</c:v>
                </c:pt>
                <c:pt idx="57">
                  <c:v>1.Unsecured rivet and snap buttons</c:v>
                </c:pt>
                <c:pt idx="58">
                  <c:v>2.Incorrect swaging</c:v>
                </c:pt>
                <c:pt idx="59">
                  <c:v>3.Falling off of buttons</c:v>
                </c:pt>
                <c:pt idx="60">
                  <c:v>4.Burr</c:v>
                </c:pt>
                <c:pt idx="61">
                  <c:v>5.Incorrect zippers</c:v>
                </c:pt>
                <c:pt idx="62">
                  <c:v>6.Incorrect indication of sub materials</c:v>
                </c:pt>
                <c:pt idx="63">
                  <c:v>7.Incorrect quality of materials</c:v>
                </c:pt>
                <c:pt idx="64">
                  <c:v>8.Missing accessories</c:v>
                </c:pt>
                <c:pt idx="65">
                  <c:v>9.Adhesive interlining</c:v>
                </c:pt>
                <c:pt idx="66">
                  <c:v>1.Dust, lint</c:v>
                </c:pt>
                <c:pt idx="67">
                  <c:v>2.Smear, stain</c:v>
                </c:pt>
                <c:pt idx="68">
                  <c:v>3.Size</c:v>
                </c:pt>
                <c:pt idx="69">
                  <c:v>4.Peel off and misalignment of prints</c:v>
                </c:pt>
                <c:pt idx="70">
                  <c:v>5.Pressure mark</c:v>
                </c:pt>
                <c:pt idx="71">
                  <c:v>6.Wash finish</c:v>
                </c:pt>
                <c:pt idx="72">
                  <c:v>1.Thread</c:v>
                </c:pt>
                <c:pt idx="73">
                  <c:v>2.Hazardous object/ foreign bodies</c:v>
                </c:pt>
                <c:pt idx="74">
                  <c:v>3.Odor</c:v>
                </c:pt>
                <c:pt idx="75">
                  <c:v>1.Bad packing</c:v>
                </c:pt>
                <c:pt idx="76">
                  <c:v>2.Wrong quantity packed</c:v>
                </c:pt>
                <c:pt idx="77">
                  <c:v>3.Others</c:v>
                </c:pt>
              </c:strCache>
            </c:strRef>
          </c:cat>
          <c:val>
            <c:numRef>
              <c:f>'Analysis(100% Final)'!$J$3:$CI$3</c:f>
              <c:numCache>
                <c:formatCode>0.00%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3.6900369003690036E-3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5.5350553505535052E-3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1.8450184501845018E-3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1.8450184501845018E-3</c:v>
                </c:pt>
                <c:pt idx="42">
                  <c:v>9.2250922509225092E-3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3.6900369003690036E-3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4-4C3A-872C-60D204E40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60608"/>
        <c:axId val="97878784"/>
      </c:barChart>
      <c:catAx>
        <c:axId val="97860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7878784"/>
        <c:crosses val="autoZero"/>
        <c:auto val="1"/>
        <c:lblAlgn val="ctr"/>
        <c:lblOffset val="100"/>
        <c:noMultiLvlLbl val="0"/>
      </c:catAx>
      <c:valAx>
        <c:axId val="978787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7860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19</xdr:row>
      <xdr:rowOff>19048</xdr:rowOff>
    </xdr:from>
    <xdr:to>
      <xdr:col>12</xdr:col>
      <xdr:colOff>548640</xdr:colOff>
      <xdr:row>23</xdr:row>
      <xdr:rowOff>502920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16566</xdr:colOff>
      <xdr:row>9</xdr:row>
      <xdr:rowOff>16566</xdr:rowOff>
    </xdr:from>
    <xdr:to>
      <xdr:col>12</xdr:col>
      <xdr:colOff>530087</xdr:colOff>
      <xdr:row>13</xdr:row>
      <xdr:rowOff>430695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29</xdr:row>
      <xdr:rowOff>19048</xdr:rowOff>
    </xdr:from>
    <xdr:to>
      <xdr:col>12</xdr:col>
      <xdr:colOff>548640</xdr:colOff>
      <xdr:row>33</xdr:row>
      <xdr:rowOff>502920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0E2D0-6EF3-4497-B61E-21D5DFC2A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43</xdr:col>
      <xdr:colOff>0</xdr:colOff>
      <xdr:row>44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0.42822</cdr:x>
      <cdr:y>0.02131</cdr:y>
    </cdr:from>
    <cdr:to>
      <cdr:x>0.61306</cdr:x>
      <cdr:y>0.08371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760318" y="125512"/>
          <a:ext cx="3781306" cy="3675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/>
            <a:t>Style-wise Analysis Chart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46</xdr:col>
      <xdr:colOff>0</xdr:colOff>
      <xdr:row>44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0.42822</cdr:x>
      <cdr:y>0.02131</cdr:y>
    </cdr:from>
    <cdr:to>
      <cdr:x>0.61306</cdr:x>
      <cdr:y>0.08371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760318" y="125512"/>
          <a:ext cx="3781306" cy="3675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/>
            <a:t>Style-wise Analysis Chart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86</xdr:col>
      <xdr:colOff>582706</xdr:colOff>
      <xdr:row>44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0.42822</cdr:x>
      <cdr:y>0.02131</cdr:y>
    </cdr:from>
    <cdr:to>
      <cdr:x>0.61306</cdr:x>
      <cdr:y>0.08371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760318" y="125512"/>
          <a:ext cx="3781306" cy="3675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/>
            <a:t>Style-wise Analysis Chart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86</xdr:col>
      <xdr:colOff>582706</xdr:colOff>
      <xdr:row>44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49E2D-5104-49C8-88DA-BF819E5EB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0.42822</cdr:x>
      <cdr:y>0.02131</cdr:y>
    </cdr:from>
    <cdr:to>
      <cdr:x>0.61306</cdr:x>
      <cdr:y>0.08371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760318" y="125512"/>
          <a:ext cx="3781306" cy="3675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/>
            <a:t>Style-wise Analysis Chart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fa\Purchasing%20Order\Users\christinalienenlueke\Desktop\01.FILE%20MANAGER\F03%20DEV%20MASTER\Groups\Fusion\OB-125-W\W-turbinepant.di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VFFiles\Profiles\hooverc\Desktop\Modified%20LLs\Copy%20of%20S10%20ACTION%20SPORTS%20L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il_Nilufar\Eudora\attach\DP%20&#44228;&#50557;&#49436;%20&#47564;&#46308;&#44592;\EAN_UPC%20&amp;%20HS%20codes%20YoungOne_wi1011_AUG.19,%2009%20Susann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ason%20Masters\Developmental%20Product%20Info\Fall%202008\Snowsports\F08%20Snowsports%20LL%20GLOBAL%20LOC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FFiles\Profiles\hooverc\Desktop\Modified%20LLs\Copy%20of%20S10%20ACTION%20SPORTS%20L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ason%20Masters\Developmental%20Product%20Info\F06%20Developmental\Sportswear\MENS%20F06%20SPRTWR%20L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rderforms\Winter%20und%20Summer\Summer%2009\Mobile%20sales\Original_Mobile%20Sales_Spring%20Collection_%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ensions"/>
      <sheetName val="2nd evaluation"/>
      <sheetName val="3rd evaluation"/>
      <sheetName val="sales smpl evaluation"/>
      <sheetName val="pre-production evaluation"/>
      <sheetName val="Pareto Chart cause"/>
      <sheetName val="W-turbinepant.dim"/>
      <sheetName val="stat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0 ACTION LL"/>
      <sheetName val="Line Counts"/>
      <sheetName val="Change Log"/>
      <sheetName val="Dropped"/>
      <sheetName val="SAP's"/>
      <sheetName val="LL Columns Definition"/>
      <sheetName val="Data Validation"/>
      <sheetName val="Hierarchy"/>
      <sheetName val="Copy of S10 ACTION SPORTS 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OUTDOOR</v>
          </cell>
        </row>
        <row r="3">
          <cell r="A3" t="str">
            <v>ACTION SPORTS</v>
          </cell>
        </row>
        <row r="4">
          <cell r="A4" t="str">
            <v>PERFORMANCE</v>
          </cell>
        </row>
        <row r="5">
          <cell r="A5" t="str">
            <v>FOOTWEAR</v>
          </cell>
        </row>
      </sheetData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ample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8 SNOWSPORTS LL"/>
      <sheetName val="HMSS"/>
      <sheetName val="INDUSTRY PROGRAM"/>
      <sheetName val="CHANGE LOG"/>
      <sheetName val="LL Columns Definition"/>
      <sheetName val="Data Validation"/>
      <sheetName val="Hierarchy"/>
      <sheetName val="intl rain"/>
      <sheetName val="intl rep"/>
    </sheetNames>
    <sheetDataSet>
      <sheetData sheetId="0">
        <row r="2">
          <cell r="B2" t="str">
            <v>TNF Face/Ear Gear</v>
          </cell>
        </row>
      </sheetData>
      <sheetData sheetId="1">
        <row r="2">
          <cell r="B2" t="str">
            <v>TNF Face/Ear Gear</v>
          </cell>
        </row>
      </sheetData>
      <sheetData sheetId="2">
        <row r="2">
          <cell r="B2" t="str">
            <v>TNF Face/Ear Gear</v>
          </cell>
        </row>
      </sheetData>
      <sheetData sheetId="3">
        <row r="2">
          <cell r="B2" t="str">
            <v>TNF Face/Ear Gear</v>
          </cell>
        </row>
      </sheetData>
      <sheetData sheetId="4">
        <row r="2">
          <cell r="B2" t="str">
            <v>TNF Face/Ear Gear</v>
          </cell>
        </row>
      </sheetData>
      <sheetData sheetId="5">
        <row r="2">
          <cell r="B2" t="str">
            <v>TNF Face/Ear Gear</v>
          </cell>
        </row>
        <row r="3">
          <cell r="B3" t="str">
            <v>TNF Lifestyle Gloves</v>
          </cell>
        </row>
        <row r="4">
          <cell r="B4" t="str">
            <v>TNF M Snow Acclimate</v>
          </cell>
        </row>
        <row r="5">
          <cell r="B5" t="str">
            <v>TNF M Snow Fleece Top</v>
          </cell>
        </row>
        <row r="6">
          <cell r="B6" t="str">
            <v>TNF M Snow Insulated Pant</v>
          </cell>
        </row>
        <row r="7">
          <cell r="B7" t="str">
            <v>TNF M Snow Insulated Top</v>
          </cell>
        </row>
        <row r="8">
          <cell r="B8" t="str">
            <v>TNF M Snow Shell Pant</v>
          </cell>
        </row>
        <row r="9">
          <cell r="B9" t="str">
            <v>TNF M Snow Shell Top</v>
          </cell>
        </row>
        <row r="10">
          <cell r="B10" t="str">
            <v>TNF Mountaineering Gloves</v>
          </cell>
        </row>
        <row r="11">
          <cell r="B11" t="str">
            <v>TNF Perf/Fleece Gloves</v>
          </cell>
        </row>
        <row r="12">
          <cell r="B12" t="str">
            <v>TNF Snowsport Gloves</v>
          </cell>
        </row>
        <row r="13">
          <cell r="B13" t="str">
            <v>TNF Snowsports Belts</v>
          </cell>
        </row>
        <row r="14">
          <cell r="B14" t="str">
            <v>TNF W Snow Acclimate</v>
          </cell>
        </row>
        <row r="15">
          <cell r="B15" t="str">
            <v>TNF W Snow Fleece Top</v>
          </cell>
        </row>
        <row r="16">
          <cell r="B16" t="str">
            <v>TNF W Snow Insulated Pant</v>
          </cell>
        </row>
        <row r="17">
          <cell r="B17" t="str">
            <v>TNF W Snow Insulated Top</v>
          </cell>
        </row>
        <row r="18">
          <cell r="B18" t="str">
            <v>TNF W Snow Shell Pant</v>
          </cell>
        </row>
        <row r="19">
          <cell r="B19" t="str">
            <v>TNF W Snow Shell Top</v>
          </cell>
        </row>
        <row r="20">
          <cell r="B20" t="str">
            <v>TNF Winter Hat</v>
          </cell>
        </row>
      </sheetData>
      <sheetData sheetId="6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0 ACTION LL"/>
      <sheetName val="Line Counts"/>
      <sheetName val="Change Log"/>
      <sheetName val="Dropped"/>
      <sheetName val="SAP's"/>
      <sheetName val="LL Columns Definition"/>
      <sheetName val="Data Validation"/>
      <sheetName val="Hierarch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 t="str">
            <v>TNF M TEK KNIT TOP</v>
          </cell>
        </row>
        <row r="3">
          <cell r="G3" t="str">
            <v>TNF M TEK WOVEN TOP</v>
          </cell>
        </row>
        <row r="4">
          <cell r="G4" t="str">
            <v>TNF M TEK SHORT</v>
          </cell>
        </row>
        <row r="5">
          <cell r="G5" t="str">
            <v>TNF M TEK WATER SHORT</v>
          </cell>
        </row>
        <row r="6">
          <cell r="G6" t="str">
            <v>TNF M TEK PANT</v>
          </cell>
        </row>
        <row r="7">
          <cell r="G7" t="str">
            <v>TNF M TEK JACKET/VEST</v>
          </cell>
        </row>
        <row r="8">
          <cell r="G8" t="str">
            <v xml:space="preserve">TNF M TEK SWEATER </v>
          </cell>
        </row>
        <row r="9">
          <cell r="G9" t="str">
            <v>TNF M TEK UNDERWEAR BTMS</v>
          </cell>
        </row>
        <row r="10">
          <cell r="G10" t="str">
            <v>TNF M TEK UNDERWEAR TOPS</v>
          </cell>
        </row>
        <row r="11">
          <cell r="G11" t="str">
            <v>TNF M TEK ADVANCED PRODUCT</v>
          </cell>
        </row>
        <row r="12">
          <cell r="G12" t="str">
            <v>TNF W TEK KNIT TOP</v>
          </cell>
        </row>
        <row r="13">
          <cell r="G13" t="str">
            <v>TNF W TEK WOVEN TOP</v>
          </cell>
        </row>
        <row r="14">
          <cell r="G14" t="str">
            <v>TNF W TEK SHORT</v>
          </cell>
        </row>
        <row r="15">
          <cell r="G15" t="str">
            <v>TNF W TEK WATER SHORT</v>
          </cell>
        </row>
        <row r="16">
          <cell r="G16" t="str">
            <v>TNF W TEK PANT</v>
          </cell>
        </row>
        <row r="17">
          <cell r="G17" t="str">
            <v>TNF W TEK DRESS/ SKIRT</v>
          </cell>
        </row>
        <row r="18">
          <cell r="G18" t="str">
            <v>TNF W TEK CAPRI</v>
          </cell>
        </row>
        <row r="19">
          <cell r="G19" t="str">
            <v>TNF W TEK JACKET/VEST</v>
          </cell>
        </row>
        <row r="20">
          <cell r="G20" t="str">
            <v xml:space="preserve">TNF W TEK SWEATER </v>
          </cell>
        </row>
        <row r="21">
          <cell r="G21" t="str">
            <v>TNF W TEK UNDERWEAR BTMS</v>
          </cell>
        </row>
        <row r="22">
          <cell r="G22" t="str">
            <v>TNF W TEK UNDERWEAR TOPS</v>
          </cell>
        </row>
        <row r="23">
          <cell r="G23" t="str">
            <v>TNF W TEK ADVANCED PRODUCT</v>
          </cell>
        </row>
        <row r="24">
          <cell r="G24" t="str">
            <v>TNF M MOUNTAIN LIFE KNIT TOP</v>
          </cell>
        </row>
        <row r="25">
          <cell r="G25" t="str">
            <v>TNF M MOUNTAIN LIFE WOVEN TOP</v>
          </cell>
        </row>
        <row r="26">
          <cell r="G26" t="str">
            <v>TNF M MOUNTAIN LIFE SHORT</v>
          </cell>
        </row>
        <row r="27">
          <cell r="G27" t="str">
            <v>TNF M MOUNTAIN LIFE PANT</v>
          </cell>
        </row>
        <row r="28">
          <cell r="G28" t="str">
            <v>TNF M MOUNTAIN LIFE JACKET/VEST</v>
          </cell>
        </row>
        <row r="29">
          <cell r="G29" t="str">
            <v>TNF M MOUNTAIN LIFE SWEATER</v>
          </cell>
        </row>
        <row r="30">
          <cell r="G30" t="str">
            <v>TNF W MOUNTAIN LIFE KNIT TOP</v>
          </cell>
        </row>
        <row r="31">
          <cell r="G31" t="str">
            <v>TNF W MOUNTAIN LIFE WOVEN TOP</v>
          </cell>
        </row>
        <row r="32">
          <cell r="G32" t="str">
            <v>TNF W MOUNTAIN LIFE SHORT</v>
          </cell>
        </row>
        <row r="33">
          <cell r="G33" t="str">
            <v>TNF W MOUNTAIN LIFE PANT</v>
          </cell>
        </row>
        <row r="34">
          <cell r="G34" t="str">
            <v>TNF W MOUNTAIN LIFE JACKET/VEST</v>
          </cell>
        </row>
        <row r="35">
          <cell r="G35" t="str">
            <v>TNF W MOUNTAIN LIFE SWEATER</v>
          </cell>
        </row>
        <row r="36">
          <cell r="G36" t="str">
            <v>TNF W MOUNTAIN LIFE DRESS/SKIRT</v>
          </cell>
        </row>
        <row r="37">
          <cell r="G37" t="str">
            <v>TNF W MOUNTAIN LIFE CAPRI</v>
          </cell>
        </row>
        <row r="38">
          <cell r="G38" t="str">
            <v>TNF M LOGO TEE</v>
          </cell>
        </row>
        <row r="39">
          <cell r="G39" t="str">
            <v>TNF M LOGO KNIT TOP</v>
          </cell>
        </row>
        <row r="40">
          <cell r="G40" t="str">
            <v>TNF M LOGO WOVEN TOP</v>
          </cell>
        </row>
        <row r="41">
          <cell r="G41" t="str">
            <v>TNF M LOGO KNIT BOTTOM</v>
          </cell>
        </row>
        <row r="42">
          <cell r="G42" t="str">
            <v>TNF W LOGO TEE</v>
          </cell>
        </row>
        <row r="43">
          <cell r="G43" t="str">
            <v>TNF W LOGO KNIT TOP</v>
          </cell>
        </row>
        <row r="44">
          <cell r="G44" t="str">
            <v>TNF W LOGO WOVEN TOP</v>
          </cell>
        </row>
        <row r="45">
          <cell r="G45" t="str">
            <v>TNF W LOGO KNIT BOTTOM</v>
          </cell>
        </row>
      </sheetData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5 #"/>
      <sheetName val="hierarch"/>
      <sheetName val="M A5"/>
      <sheetName val="Tekware  #"/>
      <sheetName val="M Tek"/>
      <sheetName val="Data Validation"/>
      <sheetName val="LL Columns Definition"/>
      <sheetName val="Hierarchy"/>
      <sheetName val="LookupData"/>
    </sheetNames>
    <sheetDataSet>
      <sheetData sheetId="0">
        <row r="2">
          <cell r="C2" t="str">
            <v>2-12</v>
          </cell>
        </row>
      </sheetData>
      <sheetData sheetId="1"/>
      <sheetData sheetId="2"/>
      <sheetData sheetId="3"/>
      <sheetData sheetId="4"/>
      <sheetData sheetId="5">
        <row r="2">
          <cell r="C2" t="str">
            <v>2-12</v>
          </cell>
        </row>
        <row r="3">
          <cell r="C3" t="str">
            <v>2-14</v>
          </cell>
        </row>
        <row r="4">
          <cell r="C4" t="str">
            <v>2-16</v>
          </cell>
        </row>
        <row r="5">
          <cell r="C5" t="str">
            <v>28-38</v>
          </cell>
        </row>
        <row r="6">
          <cell r="C6" t="str">
            <v>28-40</v>
          </cell>
        </row>
        <row r="7">
          <cell r="C7" t="str">
            <v>28-42</v>
          </cell>
        </row>
        <row r="8">
          <cell r="C8" t="str">
            <v>30-40</v>
          </cell>
        </row>
        <row r="9">
          <cell r="C9" t="str">
            <v>30-42</v>
          </cell>
        </row>
        <row r="10">
          <cell r="C10" t="str">
            <v>M-XXL</v>
          </cell>
        </row>
        <row r="11">
          <cell r="C11" t="str">
            <v>S/M, M/L</v>
          </cell>
        </row>
        <row r="12">
          <cell r="C12" t="str">
            <v>S-XL</v>
          </cell>
        </row>
        <row r="13">
          <cell r="C13" t="str">
            <v>S-XXL</v>
          </cell>
        </row>
        <row r="14">
          <cell r="C14" t="str">
            <v>XS-L</v>
          </cell>
        </row>
        <row r="15">
          <cell r="C15" t="str">
            <v>XS-XL</v>
          </cell>
        </row>
      </sheetData>
      <sheetData sheetId="6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S"/>
      <sheetName val="HEADER"/>
      <sheetName val="Spring Collection 09_Men"/>
      <sheetName val="Spring Collection 09_Women"/>
      <sheetName val="Misc"/>
      <sheetName val="Data Validation"/>
      <sheetName val="Samples "/>
      <sheetName val="Lookups"/>
    </sheetNames>
    <sheetDataSet>
      <sheetData sheetId="0">
        <row r="23">
          <cell r="B23" t="str">
            <v>NO</v>
          </cell>
        </row>
      </sheetData>
      <sheetData sheetId="1">
        <row r="23">
          <cell r="B23" t="str">
            <v>NO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M35"/>
  <sheetViews>
    <sheetView tabSelected="1" zoomScaleNormal="100" zoomScaleSheetLayoutView="100" workbookViewId="0">
      <selection activeCell="O6" sqref="O6"/>
    </sheetView>
  </sheetViews>
  <sheetFormatPr defaultRowHeight="15"/>
  <cols>
    <col min="1" max="1" width="8.7109375" style="73" customWidth="1"/>
    <col min="2" max="2" width="8.7109375" customWidth="1"/>
    <col min="3" max="3" width="17.28515625" customWidth="1"/>
    <col min="4" max="4" width="39.28515625" customWidth="1"/>
    <col min="5" max="5" width="15.5703125" customWidth="1"/>
    <col min="6" max="6" width="11.5703125" customWidth="1"/>
    <col min="7" max="7" width="18.42578125" bestFit="1" customWidth="1"/>
    <col min="8" max="8" width="12.5703125" customWidth="1"/>
    <col min="9" max="9" width="11.28515625" bestFit="1" customWidth="1"/>
    <col min="10" max="10" width="13.140625" customWidth="1"/>
    <col min="11" max="11" width="14" customWidth="1"/>
    <col min="12" max="12" width="16.140625" bestFit="1" customWidth="1"/>
    <col min="13" max="13" width="8.28515625" bestFit="1" customWidth="1"/>
    <col min="14" max="31" width="9" customWidth="1"/>
  </cols>
  <sheetData>
    <row r="1" spans="1:13" s="1" customFormat="1" ht="26.25" customHeight="1" thickBot="1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</row>
    <row r="2" spans="1:13" s="1" customFormat="1" ht="23.25" thickBot="1">
      <c r="A2" s="116" t="s">
        <v>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1:13" s="1" customFormat="1" ht="26.25" customHeight="1" thickBot="1">
      <c r="A3" s="131" t="s">
        <v>1</v>
      </c>
      <c r="B3" s="132"/>
      <c r="C3" s="132">
        <f>A1</f>
        <v>0</v>
      </c>
      <c r="D3" s="132"/>
      <c r="E3" s="2" t="s">
        <v>2</v>
      </c>
      <c r="F3" s="132" t="s">
        <v>190</v>
      </c>
      <c r="G3" s="132"/>
      <c r="H3" s="132"/>
      <c r="I3" s="2" t="s">
        <v>34</v>
      </c>
      <c r="J3" s="104"/>
      <c r="K3" s="3" t="s">
        <v>3</v>
      </c>
      <c r="L3" s="132"/>
      <c r="M3" s="133"/>
    </row>
    <row r="4" spans="1:13" s="1" customFormat="1" ht="26.25" customHeight="1" thickBot="1">
      <c r="A4" s="114" t="s">
        <v>193</v>
      </c>
      <c r="B4" s="115"/>
      <c r="C4" s="7"/>
      <c r="D4" s="9" t="s">
        <v>11</v>
      </c>
      <c r="E4" s="34"/>
      <c r="F4" s="9"/>
      <c r="G4" s="33" t="s">
        <v>12</v>
      </c>
      <c r="H4" s="34"/>
      <c r="I4" s="8"/>
      <c r="J4" s="9" t="s">
        <v>13</v>
      </c>
      <c r="K4" s="34"/>
      <c r="L4" s="32" t="s">
        <v>14</v>
      </c>
      <c r="M4" s="10"/>
    </row>
    <row r="5" spans="1:13" s="74" customFormat="1" ht="26.25" customHeight="1" thickBot="1">
      <c r="A5" s="103" t="s">
        <v>4</v>
      </c>
      <c r="B5" s="134"/>
      <c r="C5" s="134"/>
      <c r="D5" s="134"/>
      <c r="E5" s="134"/>
      <c r="F5" s="134"/>
      <c r="G5" s="134"/>
      <c r="H5" s="134"/>
      <c r="I5" s="134"/>
      <c r="J5" s="127" t="s">
        <v>5</v>
      </c>
      <c r="K5" s="127"/>
      <c r="L5" s="125"/>
      <c r="M5" s="126"/>
    </row>
    <row r="6" spans="1:13" s="74" customFormat="1" ht="33.6" customHeight="1">
      <c r="A6" s="135" t="s">
        <v>191</v>
      </c>
      <c r="B6" s="136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40"/>
    </row>
    <row r="7" spans="1:13" s="74" customFormat="1" ht="28.9" customHeight="1" thickBot="1">
      <c r="A7" s="137" t="s">
        <v>192</v>
      </c>
      <c r="B7" s="138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2"/>
    </row>
    <row r="8" spans="1:13" s="1" customFormat="1" ht="24" customHeight="1" thickBot="1">
      <c r="A8" s="120" t="s">
        <v>35</v>
      </c>
      <c r="B8" s="121"/>
      <c r="C8" s="105"/>
      <c r="D8" s="106"/>
      <c r="E8" s="121" t="s">
        <v>36</v>
      </c>
      <c r="F8" s="121"/>
      <c r="G8" s="106"/>
      <c r="H8" s="121" t="s">
        <v>37</v>
      </c>
      <c r="I8" s="121"/>
      <c r="J8" s="106"/>
      <c r="K8" s="121" t="s">
        <v>38</v>
      </c>
      <c r="L8" s="121"/>
      <c r="M8" s="107"/>
    </row>
    <row r="9" spans="1:13" ht="35.25" customHeight="1" thickBot="1">
      <c r="A9" s="119" t="s">
        <v>6</v>
      </c>
      <c r="B9" s="5" t="s">
        <v>7</v>
      </c>
      <c r="C9" s="97" t="s">
        <v>152</v>
      </c>
      <c r="D9" s="6" t="s">
        <v>8</v>
      </c>
      <c r="E9" s="6" t="s">
        <v>9</v>
      </c>
      <c r="F9" s="6" t="s">
        <v>10</v>
      </c>
      <c r="G9" s="111" t="str">
        <f>"Each top 5 defect items are prorated based on the total inspected qty of " &amp; H7 &amp; " Pcs"</f>
        <v>Each top 5 defect items are prorated based on the total inspected qty of  Pcs</v>
      </c>
      <c r="H9" s="112"/>
      <c r="I9" s="112"/>
      <c r="J9" s="112"/>
      <c r="K9" s="112"/>
      <c r="L9" s="112"/>
      <c r="M9" s="113"/>
    </row>
    <row r="10" spans="1:13" ht="35.25" customHeight="1">
      <c r="A10" s="109"/>
      <c r="B10" s="41">
        <v>1</v>
      </c>
      <c r="C10" s="41"/>
      <c r="D10" s="42"/>
      <c r="E10" s="42"/>
      <c r="F10" s="43"/>
      <c r="M10" s="4"/>
    </row>
    <row r="11" spans="1:13" ht="35.25" customHeight="1">
      <c r="A11" s="109"/>
      <c r="B11" s="44">
        <v>2</v>
      </c>
      <c r="C11" s="98"/>
      <c r="D11" s="48"/>
      <c r="E11" s="48"/>
      <c r="F11" s="49"/>
      <c r="M11" s="4"/>
    </row>
    <row r="12" spans="1:13" ht="35.25" customHeight="1">
      <c r="A12" s="109"/>
      <c r="B12" s="45">
        <v>3</v>
      </c>
      <c r="C12" s="99"/>
      <c r="D12" s="50"/>
      <c r="E12" s="50"/>
      <c r="F12" s="51"/>
      <c r="M12" s="4"/>
    </row>
    <row r="13" spans="1:13" ht="35.25" customHeight="1">
      <c r="A13" s="109"/>
      <c r="B13" s="46">
        <v>4</v>
      </c>
      <c r="C13" s="100"/>
      <c r="D13" s="52"/>
      <c r="E13" s="52"/>
      <c r="F13" s="53"/>
      <c r="M13" s="4"/>
    </row>
    <row r="14" spans="1:13" ht="35.25" customHeight="1" thickBot="1">
      <c r="A14" s="110"/>
      <c r="B14" s="47">
        <v>5</v>
      </c>
      <c r="C14" s="101"/>
      <c r="D14" s="54"/>
      <c r="E14" s="54"/>
      <c r="F14" s="55"/>
      <c r="G14" s="36"/>
      <c r="H14" s="36"/>
      <c r="I14" s="36"/>
      <c r="J14" s="36"/>
      <c r="K14" s="36"/>
      <c r="L14" s="36"/>
      <c r="M14" s="37"/>
    </row>
    <row r="15" spans="1:13" ht="12.75" customHeight="1" thickBot="1">
      <c r="A15" s="72"/>
      <c r="B15" s="38"/>
      <c r="C15" s="38"/>
      <c r="D15" s="39"/>
      <c r="E15" s="38"/>
      <c r="F15" s="40"/>
      <c r="G15" s="36"/>
      <c r="H15" s="36"/>
      <c r="I15" s="36"/>
      <c r="J15" s="36"/>
      <c r="K15" s="36"/>
      <c r="L15" s="36"/>
      <c r="M15" s="37"/>
    </row>
    <row r="16" spans="1:13" s="1" customFormat="1" ht="26.25" customHeight="1" thickBot="1">
      <c r="A16" s="116" t="s">
        <v>194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8"/>
    </row>
    <row r="17" spans="1:13" s="1" customFormat="1" ht="26.25" customHeight="1" thickBot="1">
      <c r="A17" s="114" t="s">
        <v>193</v>
      </c>
      <c r="B17" s="115"/>
      <c r="C17" s="11"/>
      <c r="D17" s="16" t="s">
        <v>15</v>
      </c>
      <c r="E17" s="14"/>
      <c r="F17" s="11"/>
      <c r="G17" s="12" t="s">
        <v>16</v>
      </c>
      <c r="H17" s="15"/>
      <c r="I17" s="11"/>
      <c r="J17" s="12" t="s">
        <v>17</v>
      </c>
      <c r="K17" s="7"/>
      <c r="L17" s="12" t="s">
        <v>18</v>
      </c>
      <c r="M17" s="13"/>
    </row>
    <row r="18" spans="1:13" s="74" customFormat="1" ht="33.6" customHeight="1" thickBot="1">
      <c r="A18" s="71" t="s">
        <v>4</v>
      </c>
      <c r="B18" s="123"/>
      <c r="C18" s="123"/>
      <c r="D18" s="123"/>
      <c r="E18" s="123"/>
      <c r="F18" s="123"/>
      <c r="G18" s="123"/>
      <c r="H18" s="123"/>
      <c r="I18" s="123"/>
      <c r="J18" s="122" t="s">
        <v>5</v>
      </c>
      <c r="K18" s="122"/>
      <c r="L18" s="122"/>
      <c r="M18" s="124"/>
    </row>
    <row r="19" spans="1:13" ht="35.25" customHeight="1" thickBot="1">
      <c r="A19" s="108" t="s">
        <v>6</v>
      </c>
      <c r="B19" s="95" t="s">
        <v>7</v>
      </c>
      <c r="C19" s="102" t="s">
        <v>152</v>
      </c>
      <c r="D19" s="96" t="s">
        <v>8</v>
      </c>
      <c r="E19" s="96" t="s">
        <v>9</v>
      </c>
      <c r="F19" s="96" t="s">
        <v>10</v>
      </c>
      <c r="G19" s="111" t="str">
        <f>"Each top 5 defect items are prorated based on the total inspected qty of " &amp; H17 &amp; " Pcs"</f>
        <v>Each top 5 defect items are prorated based on the total inspected qty of  Pcs</v>
      </c>
      <c r="H19" s="112"/>
      <c r="I19" s="112"/>
      <c r="J19" s="112"/>
      <c r="K19" s="112"/>
      <c r="L19" s="112"/>
      <c r="M19" s="113"/>
    </row>
    <row r="20" spans="1:13" ht="40.5" customHeight="1">
      <c r="A20" s="109"/>
      <c r="B20" s="41">
        <v>1</v>
      </c>
      <c r="C20" s="41"/>
      <c r="D20" s="56"/>
      <c r="E20" s="42"/>
      <c r="F20" s="61"/>
      <c r="G20" s="66"/>
      <c r="H20" s="67"/>
      <c r="I20" s="67"/>
      <c r="J20" s="67"/>
      <c r="K20" s="67"/>
      <c r="L20" s="67"/>
      <c r="M20" s="68"/>
    </row>
    <row r="21" spans="1:13" ht="40.5" customHeight="1">
      <c r="A21" s="109"/>
      <c r="B21" s="44">
        <v>2</v>
      </c>
      <c r="C21" s="98"/>
      <c r="D21" s="57"/>
      <c r="E21" s="48"/>
      <c r="F21" s="62"/>
      <c r="G21" s="69"/>
      <c r="M21" s="4"/>
    </row>
    <row r="22" spans="1:13" ht="40.5" customHeight="1">
      <c r="A22" s="109"/>
      <c r="B22" s="45">
        <v>3</v>
      </c>
      <c r="C22" s="99"/>
      <c r="D22" s="58"/>
      <c r="E22" s="50"/>
      <c r="F22" s="63"/>
      <c r="G22" s="69"/>
      <c r="M22" s="4"/>
    </row>
    <row r="23" spans="1:13" ht="40.5" customHeight="1">
      <c r="A23" s="109"/>
      <c r="B23" s="46">
        <v>4</v>
      </c>
      <c r="C23" s="100"/>
      <c r="D23" s="59"/>
      <c r="E23" s="52"/>
      <c r="F23" s="64"/>
      <c r="G23" s="69"/>
      <c r="M23" s="4"/>
    </row>
    <row r="24" spans="1:13" ht="42" customHeight="1" thickBot="1">
      <c r="A24" s="110"/>
      <c r="B24" s="47">
        <v>5</v>
      </c>
      <c r="C24" s="101"/>
      <c r="D24" s="60"/>
      <c r="E24" s="54"/>
      <c r="F24" s="65"/>
      <c r="G24" s="70"/>
      <c r="H24" s="36"/>
      <c r="I24" s="36"/>
      <c r="J24" s="36"/>
      <c r="K24" s="36"/>
      <c r="L24" s="36"/>
      <c r="M24" s="37"/>
    </row>
    <row r="25" spans="1:13" ht="12.75" customHeight="1" thickBot="1">
      <c r="A25" s="72"/>
      <c r="B25" s="38"/>
      <c r="C25" s="38"/>
      <c r="D25" s="39"/>
      <c r="E25" s="38"/>
      <c r="F25" s="40"/>
      <c r="G25" s="36"/>
      <c r="H25" s="36"/>
      <c r="I25" s="36"/>
      <c r="J25" s="36"/>
      <c r="K25" s="36"/>
      <c r="L25" s="36"/>
      <c r="M25" s="37"/>
    </row>
    <row r="26" spans="1:13" s="1" customFormat="1" ht="26.25" customHeight="1" thickBot="1">
      <c r="A26" s="116" t="s">
        <v>195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8"/>
    </row>
    <row r="27" spans="1:13" s="1" customFormat="1" ht="26.25" customHeight="1" thickBot="1">
      <c r="A27" s="114" t="s">
        <v>193</v>
      </c>
      <c r="B27" s="115"/>
      <c r="C27" s="11"/>
      <c r="D27" s="16" t="s">
        <v>15</v>
      </c>
      <c r="E27" s="14"/>
      <c r="F27" s="11"/>
      <c r="G27" s="12" t="s">
        <v>16</v>
      </c>
      <c r="H27" s="15"/>
      <c r="I27" s="11"/>
      <c r="J27" s="12" t="s">
        <v>17</v>
      </c>
      <c r="K27" s="7"/>
      <c r="L27" s="12" t="s">
        <v>18</v>
      </c>
      <c r="M27" s="13"/>
    </row>
    <row r="28" spans="1:13" s="74" customFormat="1" ht="33.6" customHeight="1" thickBot="1">
      <c r="A28" s="71" t="s">
        <v>4</v>
      </c>
      <c r="B28" s="123"/>
      <c r="C28" s="123"/>
      <c r="D28" s="123"/>
      <c r="E28" s="123"/>
      <c r="F28" s="123"/>
      <c r="G28" s="123"/>
      <c r="H28" s="123"/>
      <c r="I28" s="123"/>
      <c r="J28" s="122" t="s">
        <v>5</v>
      </c>
      <c r="K28" s="122"/>
      <c r="L28" s="122"/>
      <c r="M28" s="124"/>
    </row>
    <row r="29" spans="1:13" ht="35.25" customHeight="1" thickBot="1">
      <c r="A29" s="108" t="s">
        <v>6</v>
      </c>
      <c r="B29" s="95" t="s">
        <v>7</v>
      </c>
      <c r="C29" s="102" t="s">
        <v>152</v>
      </c>
      <c r="D29" s="96" t="s">
        <v>8</v>
      </c>
      <c r="E29" s="96" t="s">
        <v>9</v>
      </c>
      <c r="F29" s="96" t="s">
        <v>10</v>
      </c>
      <c r="G29" s="111" t="str">
        <f>"Each top 5 defect items are prorated based on the total inspected qty of " &amp; H27 &amp; " Pcs"</f>
        <v>Each top 5 defect items are prorated based on the total inspected qty of  Pcs</v>
      </c>
      <c r="H29" s="112"/>
      <c r="I29" s="112"/>
      <c r="J29" s="112"/>
      <c r="K29" s="112"/>
      <c r="L29" s="112"/>
      <c r="M29" s="113"/>
    </row>
    <row r="30" spans="1:13" ht="40.5" customHeight="1">
      <c r="A30" s="109"/>
      <c r="B30" s="41">
        <v>1</v>
      </c>
      <c r="C30" s="41"/>
      <c r="D30" s="56"/>
      <c r="E30" s="42"/>
      <c r="F30" s="61"/>
      <c r="G30" s="66"/>
      <c r="H30" s="67"/>
      <c r="I30" s="67"/>
      <c r="J30" s="67"/>
      <c r="K30" s="67"/>
      <c r="L30" s="67"/>
      <c r="M30" s="68"/>
    </row>
    <row r="31" spans="1:13" ht="40.5" customHeight="1">
      <c r="A31" s="109"/>
      <c r="B31" s="44">
        <v>2</v>
      </c>
      <c r="C31" s="98"/>
      <c r="D31" s="57"/>
      <c r="E31" s="48"/>
      <c r="F31" s="62"/>
      <c r="G31" s="69"/>
      <c r="M31" s="4"/>
    </row>
    <row r="32" spans="1:13" ht="40.5" customHeight="1">
      <c r="A32" s="109"/>
      <c r="B32" s="45">
        <v>3</v>
      </c>
      <c r="C32" s="99"/>
      <c r="D32" s="58"/>
      <c r="E32" s="50"/>
      <c r="F32" s="63"/>
      <c r="G32" s="69"/>
      <c r="M32" s="4"/>
    </row>
    <row r="33" spans="1:13" ht="40.5" customHeight="1">
      <c r="A33" s="109"/>
      <c r="B33" s="46">
        <v>4</v>
      </c>
      <c r="C33" s="100"/>
      <c r="D33" s="59"/>
      <c r="E33" s="52"/>
      <c r="F33" s="64"/>
      <c r="G33" s="69"/>
      <c r="M33" s="4"/>
    </row>
    <row r="34" spans="1:13" ht="42" customHeight="1" thickBot="1">
      <c r="A34" s="110"/>
      <c r="B34" s="47">
        <v>5</v>
      </c>
      <c r="C34" s="101"/>
      <c r="D34" s="60"/>
      <c r="E34" s="54"/>
      <c r="F34" s="65"/>
      <c r="G34" s="70"/>
      <c r="H34" s="36"/>
      <c r="I34" s="36"/>
      <c r="J34" s="36"/>
      <c r="K34" s="36"/>
      <c r="L34" s="36"/>
      <c r="M34" s="37"/>
    </row>
    <row r="35" spans="1:13" ht="13.5" customHeight="1">
      <c r="A35" s="92"/>
      <c r="B35" s="93"/>
      <c r="C35" s="93"/>
      <c r="D35" s="73"/>
      <c r="E35" s="93"/>
      <c r="F35" s="94"/>
    </row>
  </sheetData>
  <mergeCells count="34">
    <mergeCell ref="A29:A34"/>
    <mergeCell ref="G29:M29"/>
    <mergeCell ref="A26:M26"/>
    <mergeCell ref="A27:B27"/>
    <mergeCell ref="B28:I28"/>
    <mergeCell ref="J28:K28"/>
    <mergeCell ref="L28:M28"/>
    <mergeCell ref="B5:I5"/>
    <mergeCell ref="A6:B6"/>
    <mergeCell ref="A7:B7"/>
    <mergeCell ref="C6:M6"/>
    <mergeCell ref="C7:M7"/>
    <mergeCell ref="A1:M1"/>
    <mergeCell ref="A2:M2"/>
    <mergeCell ref="A3:B3"/>
    <mergeCell ref="F3:H3"/>
    <mergeCell ref="L3:M3"/>
    <mergeCell ref="C3:D3"/>
    <mergeCell ref="A19:A24"/>
    <mergeCell ref="G19:M19"/>
    <mergeCell ref="A4:B4"/>
    <mergeCell ref="A17:B17"/>
    <mergeCell ref="A16:M16"/>
    <mergeCell ref="A9:A14"/>
    <mergeCell ref="G9:M9"/>
    <mergeCell ref="A8:B8"/>
    <mergeCell ref="E8:F8"/>
    <mergeCell ref="H8:I8"/>
    <mergeCell ref="K8:L8"/>
    <mergeCell ref="J18:K18"/>
    <mergeCell ref="B18:I18"/>
    <mergeCell ref="L18:M18"/>
    <mergeCell ref="L5:M5"/>
    <mergeCell ref="J5:K5"/>
  </mergeCells>
  <printOptions horizontalCentered="1"/>
  <pageMargins left="0" right="0" top="0" bottom="0" header="0" footer="0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Q11"/>
  <sheetViews>
    <sheetView zoomScale="85" zoomScaleNormal="85" workbookViewId="0">
      <selection activeCell="E8" sqref="E8"/>
    </sheetView>
  </sheetViews>
  <sheetFormatPr defaultRowHeight="15"/>
  <cols>
    <col min="1" max="1" width="6.7109375" bestFit="1" customWidth="1"/>
    <col min="2" max="2" width="7.5703125" bestFit="1" customWidth="1"/>
    <col min="3" max="3" width="23" customWidth="1"/>
    <col min="4" max="4" width="45.85546875" customWidth="1"/>
    <col min="5" max="7" width="10" customWidth="1"/>
    <col min="8" max="8" width="10" style="27" customWidth="1"/>
    <col min="9" max="43" width="7.28515625" customWidth="1"/>
  </cols>
  <sheetData>
    <row r="1" spans="1:43" s="17" customFormat="1" ht="15" customHeight="1">
      <c r="A1" s="150"/>
      <c r="B1" s="150"/>
      <c r="C1" s="150"/>
      <c r="D1" s="150"/>
      <c r="E1" s="150"/>
      <c r="F1" s="150"/>
      <c r="G1" s="150"/>
      <c r="H1" s="151"/>
      <c r="I1" s="147" t="s">
        <v>19</v>
      </c>
      <c r="J1" s="148"/>
      <c r="K1" s="148"/>
      <c r="L1" s="148"/>
      <c r="M1" s="148"/>
      <c r="N1" s="149"/>
      <c r="O1" s="147" t="s">
        <v>20</v>
      </c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9"/>
      <c r="AD1" s="147" t="s">
        <v>21</v>
      </c>
      <c r="AE1" s="148"/>
      <c r="AF1" s="148"/>
      <c r="AG1" s="148"/>
      <c r="AH1" s="152"/>
      <c r="AI1" s="147" t="s">
        <v>22</v>
      </c>
      <c r="AJ1" s="148"/>
      <c r="AK1" s="148"/>
      <c r="AL1" s="148"/>
      <c r="AM1" s="148"/>
      <c r="AN1" s="149"/>
      <c r="AO1" s="147" t="s">
        <v>23</v>
      </c>
      <c r="AP1" s="148"/>
      <c r="AQ1" s="149"/>
    </row>
    <row r="2" spans="1:43" ht="125.25">
      <c r="A2" s="143" t="s">
        <v>24</v>
      </c>
      <c r="B2" s="143" t="s">
        <v>25</v>
      </c>
      <c r="C2" s="143" t="s">
        <v>26</v>
      </c>
      <c r="D2" s="143" t="s">
        <v>27</v>
      </c>
      <c r="E2" s="143" t="s">
        <v>28</v>
      </c>
      <c r="F2" s="143" t="s">
        <v>29</v>
      </c>
      <c r="G2" s="143" t="s">
        <v>30</v>
      </c>
      <c r="H2" s="143" t="s">
        <v>31</v>
      </c>
      <c r="I2" s="18" t="s">
        <v>117</v>
      </c>
      <c r="J2" s="18" t="s">
        <v>118</v>
      </c>
      <c r="K2" s="18" t="s">
        <v>119</v>
      </c>
      <c r="L2" s="18" t="s">
        <v>120</v>
      </c>
      <c r="M2" s="18" t="s">
        <v>121</v>
      </c>
      <c r="N2" s="18" t="s">
        <v>122</v>
      </c>
      <c r="O2" s="18" t="s">
        <v>123</v>
      </c>
      <c r="P2" s="18" t="s">
        <v>124</v>
      </c>
      <c r="Q2" s="18" t="s">
        <v>125</v>
      </c>
      <c r="R2" s="18" t="s">
        <v>126</v>
      </c>
      <c r="S2" s="18" t="s">
        <v>127</v>
      </c>
      <c r="T2" s="18" t="s">
        <v>128</v>
      </c>
      <c r="U2" s="18" t="s">
        <v>129</v>
      </c>
      <c r="V2" s="18" t="s">
        <v>130</v>
      </c>
      <c r="W2" s="18" t="s">
        <v>131</v>
      </c>
      <c r="X2" s="18" t="s">
        <v>132</v>
      </c>
      <c r="Y2" s="18" t="s">
        <v>133</v>
      </c>
      <c r="Z2" s="18" t="s">
        <v>134</v>
      </c>
      <c r="AA2" s="18" t="s">
        <v>135</v>
      </c>
      <c r="AB2" s="18" t="s">
        <v>136</v>
      </c>
      <c r="AC2" s="18" t="s">
        <v>137</v>
      </c>
      <c r="AD2" s="18" t="s">
        <v>138</v>
      </c>
      <c r="AE2" s="18" t="s">
        <v>139</v>
      </c>
      <c r="AF2" s="18" t="s">
        <v>140</v>
      </c>
      <c r="AG2" s="18" t="s">
        <v>141</v>
      </c>
      <c r="AH2" s="18" t="s">
        <v>142</v>
      </c>
      <c r="AI2" s="18" t="s">
        <v>143</v>
      </c>
      <c r="AJ2" s="18" t="s">
        <v>144</v>
      </c>
      <c r="AK2" s="18" t="s">
        <v>145</v>
      </c>
      <c r="AL2" s="18" t="s">
        <v>146</v>
      </c>
      <c r="AM2" s="18" t="s">
        <v>147</v>
      </c>
      <c r="AN2" s="18" t="s">
        <v>148</v>
      </c>
      <c r="AO2" s="91" t="s">
        <v>149</v>
      </c>
      <c r="AP2" s="91" t="s">
        <v>150</v>
      </c>
      <c r="AQ2" s="91" t="s">
        <v>151</v>
      </c>
    </row>
    <row r="3" spans="1:43" s="20" customFormat="1" ht="12">
      <c r="A3" s="144"/>
      <c r="B3" s="144"/>
      <c r="C3" s="144"/>
      <c r="D3" s="144"/>
      <c r="E3" s="144"/>
      <c r="F3" s="144"/>
      <c r="G3" s="144"/>
      <c r="H3" s="144"/>
      <c r="I3" s="19">
        <f>I4/$E$4</f>
        <v>3.8200048381913832E-3</v>
      </c>
      <c r="J3" s="19">
        <f t="shared" ref="J3:AP3" si="0">J4/$E$4</f>
        <v>1.6355975346887491E-3</v>
      </c>
      <c r="K3" s="19">
        <f t="shared" si="0"/>
        <v>2.8884724674414995E-5</v>
      </c>
      <c r="L3" s="19">
        <f t="shared" si="0"/>
        <v>0</v>
      </c>
      <c r="M3" s="19">
        <f t="shared" si="0"/>
        <v>0</v>
      </c>
      <c r="N3" s="19">
        <f t="shared" si="0"/>
        <v>0</v>
      </c>
      <c r="O3" s="19">
        <f t="shared" si="0"/>
        <v>8.0516170029931798E-4</v>
      </c>
      <c r="P3" s="19">
        <f t="shared" si="0"/>
        <v>0</v>
      </c>
      <c r="Q3" s="19">
        <f t="shared" si="0"/>
        <v>0</v>
      </c>
      <c r="R3" s="19">
        <f t="shared" si="0"/>
        <v>2.5887934489444439E-3</v>
      </c>
      <c r="S3" s="19">
        <f t="shared" si="0"/>
        <v>9.3550402039261557E-3</v>
      </c>
      <c r="T3" s="19">
        <f t="shared" si="0"/>
        <v>2.1663543505811245E-5</v>
      </c>
      <c r="U3" s="19">
        <f t="shared" si="0"/>
        <v>3.3217433375577244E-4</v>
      </c>
      <c r="V3" s="19">
        <f t="shared" si="0"/>
        <v>5.7769449348829991E-5</v>
      </c>
      <c r="W3" s="19">
        <f t="shared" si="0"/>
        <v>2.2024602564241435E-3</v>
      </c>
      <c r="X3" s="19">
        <f t="shared" si="0"/>
        <v>2.4552015973252744E-4</v>
      </c>
      <c r="Y3" s="19">
        <f t="shared" si="0"/>
        <v>2.7440488440694244E-4</v>
      </c>
      <c r="Z3" s="19">
        <f t="shared" si="0"/>
        <v>4.5168488209616445E-3</v>
      </c>
      <c r="AA3" s="19">
        <f t="shared" si="0"/>
        <v>1.6319869441044472E-3</v>
      </c>
      <c r="AB3" s="19">
        <f t="shared" si="0"/>
        <v>2.527413409011312E-5</v>
      </c>
      <c r="AC3" s="19">
        <f t="shared" si="0"/>
        <v>0</v>
      </c>
      <c r="AD3" s="19">
        <f t="shared" si="0"/>
        <v>0</v>
      </c>
      <c r="AE3" s="19">
        <f t="shared" si="0"/>
        <v>1.5164480454067872E-4</v>
      </c>
      <c r="AF3" s="19">
        <f t="shared" si="0"/>
        <v>0</v>
      </c>
      <c r="AG3" s="19">
        <f t="shared" si="0"/>
        <v>0</v>
      </c>
      <c r="AH3" s="19">
        <f t="shared" si="0"/>
        <v>0</v>
      </c>
      <c r="AI3" s="19">
        <f t="shared" si="0"/>
        <v>2.0569534558767779E-2</v>
      </c>
      <c r="AJ3" s="19">
        <f t="shared" si="0"/>
        <v>6.5135054140805808E-3</v>
      </c>
      <c r="AK3" s="19">
        <f t="shared" si="0"/>
        <v>0</v>
      </c>
      <c r="AL3" s="19">
        <f t="shared" si="0"/>
        <v>4.5493441362203614E-4</v>
      </c>
      <c r="AM3" s="19">
        <f t="shared" si="0"/>
        <v>1.0109653636045247E-3</v>
      </c>
      <c r="AN3" s="19">
        <f t="shared" si="0"/>
        <v>4.332708701162249E-5</v>
      </c>
      <c r="AO3" s="19">
        <f t="shared" si="0"/>
        <v>0</v>
      </c>
      <c r="AP3" s="19">
        <f t="shared" si="0"/>
        <v>0</v>
      </c>
      <c r="AQ3" s="19">
        <f>AQ4/$E$4</f>
        <v>2.0580366330520683E-4</v>
      </c>
    </row>
    <row r="4" spans="1:43" s="22" customFormat="1">
      <c r="A4" s="145" t="s">
        <v>32</v>
      </c>
      <c r="B4" s="146"/>
      <c r="C4" s="146"/>
      <c r="D4" s="146"/>
      <c r="E4" s="35">
        <v>276963</v>
      </c>
      <c r="F4" s="75">
        <v>261317</v>
      </c>
      <c r="G4" s="75">
        <f>SUM(I4:AQ4)</f>
        <v>15646</v>
      </c>
      <c r="H4" s="76">
        <f>G4/E4</f>
        <v>5.6491300281987122E-2</v>
      </c>
      <c r="I4" s="21">
        <v>1058</v>
      </c>
      <c r="J4" s="21">
        <v>453</v>
      </c>
      <c r="K4" s="21">
        <v>8</v>
      </c>
      <c r="L4" s="21">
        <v>0</v>
      </c>
      <c r="M4" s="21">
        <v>0</v>
      </c>
      <c r="N4" s="21">
        <v>0</v>
      </c>
      <c r="O4" s="21">
        <v>223</v>
      </c>
      <c r="P4" s="21">
        <v>0</v>
      </c>
      <c r="Q4" s="21">
        <v>0</v>
      </c>
      <c r="R4" s="21">
        <v>717</v>
      </c>
      <c r="S4" s="21">
        <v>2591</v>
      </c>
      <c r="T4" s="21">
        <v>6</v>
      </c>
      <c r="U4" s="21">
        <v>92</v>
      </c>
      <c r="V4" s="21">
        <v>16</v>
      </c>
      <c r="W4" s="21">
        <v>610</v>
      </c>
      <c r="X4" s="21">
        <v>68</v>
      </c>
      <c r="Y4" s="21">
        <v>76</v>
      </c>
      <c r="Z4" s="21">
        <v>1251</v>
      </c>
      <c r="AA4" s="21">
        <v>452</v>
      </c>
      <c r="AB4" s="21">
        <v>7</v>
      </c>
      <c r="AC4" s="21">
        <v>0</v>
      </c>
      <c r="AD4" s="21">
        <v>0</v>
      </c>
      <c r="AE4" s="21">
        <v>42</v>
      </c>
      <c r="AF4" s="21">
        <v>0</v>
      </c>
      <c r="AG4" s="21">
        <v>0</v>
      </c>
      <c r="AH4" s="21">
        <v>0</v>
      </c>
      <c r="AI4" s="21">
        <v>5697</v>
      </c>
      <c r="AJ4" s="21">
        <v>1804</v>
      </c>
      <c r="AK4" s="21">
        <v>0</v>
      </c>
      <c r="AL4" s="21">
        <v>126</v>
      </c>
      <c r="AM4" s="21">
        <v>280</v>
      </c>
      <c r="AN4" s="21">
        <v>12</v>
      </c>
      <c r="AO4" s="21">
        <v>0</v>
      </c>
      <c r="AP4" s="21">
        <v>0</v>
      </c>
      <c r="AQ4" s="21">
        <v>57</v>
      </c>
    </row>
    <row r="5" spans="1:43" ht="20.45" customHeight="1">
      <c r="A5" s="23"/>
      <c r="B5" s="23"/>
      <c r="C5" s="23"/>
      <c r="D5" s="23"/>
      <c r="E5" s="23"/>
      <c r="F5" s="23"/>
      <c r="G5" s="23"/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20.45" customHeight="1">
      <c r="A6" s="23"/>
      <c r="B6" s="23"/>
      <c r="C6" s="23"/>
      <c r="D6" s="23"/>
      <c r="E6" s="23"/>
      <c r="F6" s="23"/>
      <c r="G6" s="23"/>
      <c r="H6" s="25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20.45" customHeight="1">
      <c r="A7" s="23"/>
      <c r="B7" s="23"/>
      <c r="C7" s="23"/>
      <c r="D7" s="23"/>
      <c r="E7" s="23"/>
      <c r="F7" s="23"/>
      <c r="G7" s="23"/>
      <c r="H7" s="25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20.45" customHeight="1">
      <c r="A8" s="23"/>
      <c r="B8" s="23"/>
      <c r="C8" s="23"/>
      <c r="D8" s="23"/>
      <c r="E8" s="23"/>
      <c r="F8" s="23"/>
      <c r="G8" s="23"/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20.45" customHeight="1">
      <c r="A9" s="23"/>
      <c r="B9" s="23"/>
      <c r="C9" s="23"/>
      <c r="D9" s="23"/>
      <c r="E9" s="23"/>
      <c r="F9" s="23"/>
      <c r="G9" s="23"/>
      <c r="H9" s="25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20.45" customHeight="1">
      <c r="A10" s="23"/>
      <c r="B10" s="23"/>
      <c r="C10" s="23"/>
      <c r="D10" s="23"/>
      <c r="E10" s="23"/>
      <c r="F10" s="23"/>
      <c r="G10" s="23"/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20.45" customHeight="1">
      <c r="A11" s="23"/>
      <c r="B11" s="23"/>
      <c r="C11" s="23"/>
      <c r="D11" s="23"/>
      <c r="E11" s="23"/>
      <c r="F11" s="23"/>
      <c r="G11" s="23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</sheetData>
  <mergeCells count="15">
    <mergeCell ref="AO1:AQ1"/>
    <mergeCell ref="A1:H1"/>
    <mergeCell ref="I1:N1"/>
    <mergeCell ref="O1:AC1"/>
    <mergeCell ref="AD1:AH1"/>
    <mergeCell ref="AI1:AN1"/>
    <mergeCell ref="G2:G3"/>
    <mergeCell ref="H2:H3"/>
    <mergeCell ref="A4:D4"/>
    <mergeCell ref="A2:A3"/>
    <mergeCell ref="B2:B3"/>
    <mergeCell ref="C2:C3"/>
    <mergeCell ref="D2:D3"/>
    <mergeCell ref="E2:E3"/>
    <mergeCell ref="F2:F3"/>
  </mergeCells>
  <printOptions horizontalCentered="1"/>
  <pageMargins left="0.2" right="0.2" top="0.3" bottom="0.2" header="0.3" footer="0.3"/>
  <pageSetup paperSize="9" scale="4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T11"/>
  <sheetViews>
    <sheetView topLeftCell="A10" zoomScale="85" zoomScaleNormal="85" workbookViewId="0">
      <selection activeCell="AU2" sqref="AU2"/>
    </sheetView>
  </sheetViews>
  <sheetFormatPr defaultRowHeight="15"/>
  <cols>
    <col min="1" max="1" width="6.7109375" bestFit="1" customWidth="1"/>
    <col min="2" max="2" width="7.5703125" bestFit="1" customWidth="1"/>
    <col min="3" max="3" width="23" customWidth="1"/>
    <col min="4" max="4" width="45.85546875" customWidth="1"/>
    <col min="5" max="5" width="18" customWidth="1"/>
    <col min="6" max="8" width="10" customWidth="1"/>
    <col min="9" max="9" width="10" style="27" customWidth="1"/>
    <col min="10" max="46" width="7.28515625" customWidth="1"/>
  </cols>
  <sheetData>
    <row r="1" spans="1:46" s="17" customFormat="1" ht="15" customHeight="1" thickBot="1">
      <c r="A1" s="150"/>
      <c r="B1" s="150"/>
      <c r="C1" s="150"/>
      <c r="D1" s="150"/>
      <c r="E1" s="150"/>
      <c r="F1" s="150"/>
      <c r="G1" s="150"/>
      <c r="H1" s="150"/>
      <c r="I1" s="151"/>
      <c r="J1" s="147" t="s">
        <v>19</v>
      </c>
      <c r="K1" s="148"/>
      <c r="L1" s="148"/>
      <c r="M1" s="148"/>
      <c r="N1" s="148"/>
      <c r="O1" s="149"/>
      <c r="P1" s="147" t="s">
        <v>20</v>
      </c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9"/>
      <c r="AE1" s="147" t="s">
        <v>21</v>
      </c>
      <c r="AF1" s="148"/>
      <c r="AG1" s="148"/>
      <c r="AH1" s="148"/>
      <c r="AI1" s="152"/>
      <c r="AJ1" s="153" t="s">
        <v>22</v>
      </c>
      <c r="AK1" s="154"/>
      <c r="AL1" s="154"/>
      <c r="AM1" s="154"/>
      <c r="AN1" s="154"/>
      <c r="AO1" s="154"/>
      <c r="AP1" s="154"/>
      <c r="AQ1" s="155"/>
      <c r="AR1" s="147" t="s">
        <v>23</v>
      </c>
      <c r="AS1" s="148"/>
      <c r="AT1" s="149"/>
    </row>
    <row r="2" spans="1:46" ht="183" thickBot="1">
      <c r="A2" s="143" t="s">
        <v>24</v>
      </c>
      <c r="B2" s="143" t="s">
        <v>25</v>
      </c>
      <c r="C2" s="143" t="s">
        <v>26</v>
      </c>
      <c r="D2" s="143" t="s">
        <v>27</v>
      </c>
      <c r="E2" s="28" t="s">
        <v>33</v>
      </c>
      <c r="F2" s="143" t="s">
        <v>28</v>
      </c>
      <c r="G2" s="143" t="s">
        <v>29</v>
      </c>
      <c r="H2" s="143" t="s">
        <v>30</v>
      </c>
      <c r="I2" s="143" t="s">
        <v>31</v>
      </c>
      <c r="J2" s="77" t="s">
        <v>153</v>
      </c>
      <c r="K2" s="78" t="s">
        <v>154</v>
      </c>
      <c r="L2" s="78" t="s">
        <v>155</v>
      </c>
      <c r="M2" s="78" t="s">
        <v>156</v>
      </c>
      <c r="N2" s="78" t="s">
        <v>157</v>
      </c>
      <c r="O2" s="78" t="s">
        <v>158</v>
      </c>
      <c r="P2" s="78" t="s">
        <v>159</v>
      </c>
      <c r="Q2" s="78" t="s">
        <v>160</v>
      </c>
      <c r="R2" s="78" t="s">
        <v>161</v>
      </c>
      <c r="S2" s="78" t="s">
        <v>162</v>
      </c>
      <c r="T2" s="78" t="s">
        <v>163</v>
      </c>
      <c r="U2" s="78" t="s">
        <v>164</v>
      </c>
      <c r="V2" s="79" t="s">
        <v>165</v>
      </c>
      <c r="W2" s="80" t="s">
        <v>166</v>
      </c>
      <c r="X2" s="81" t="s">
        <v>167</v>
      </c>
      <c r="Y2" s="81" t="s">
        <v>168</v>
      </c>
      <c r="Z2" s="81" t="s">
        <v>169</v>
      </c>
      <c r="AA2" s="81" t="s">
        <v>170</v>
      </c>
      <c r="AB2" s="81" t="s">
        <v>171</v>
      </c>
      <c r="AC2" s="81" t="s">
        <v>172</v>
      </c>
      <c r="AD2" s="81" t="s">
        <v>173</v>
      </c>
      <c r="AE2" s="81" t="s">
        <v>174</v>
      </c>
      <c r="AF2" s="81" t="s">
        <v>175</v>
      </c>
      <c r="AG2" s="81" t="s">
        <v>176</v>
      </c>
      <c r="AH2" s="81" t="s">
        <v>177</v>
      </c>
      <c r="AI2" s="81" t="s">
        <v>178</v>
      </c>
      <c r="AJ2" s="81" t="s">
        <v>179</v>
      </c>
      <c r="AK2" s="81" t="s">
        <v>180</v>
      </c>
      <c r="AL2" s="81" t="s">
        <v>181</v>
      </c>
      <c r="AM2" s="81" t="s">
        <v>182</v>
      </c>
      <c r="AN2" s="81" t="s">
        <v>183</v>
      </c>
      <c r="AO2" s="81" t="s">
        <v>184</v>
      </c>
      <c r="AP2" s="81" t="s">
        <v>185</v>
      </c>
      <c r="AQ2" s="81" t="s">
        <v>186</v>
      </c>
      <c r="AR2" s="81" t="s">
        <v>187</v>
      </c>
      <c r="AS2" s="81" t="s">
        <v>188</v>
      </c>
      <c r="AT2" s="81" t="s">
        <v>189</v>
      </c>
    </row>
    <row r="3" spans="1:46" s="20" customFormat="1" ht="12">
      <c r="A3" s="144"/>
      <c r="B3" s="144"/>
      <c r="C3" s="144"/>
      <c r="D3" s="144"/>
      <c r="E3" s="29"/>
      <c r="F3" s="144"/>
      <c r="G3" s="144"/>
      <c r="H3" s="144"/>
      <c r="I3" s="144"/>
      <c r="J3" s="19">
        <f>J4/$F$4</f>
        <v>5.6277056277056281E-3</v>
      </c>
      <c r="K3" s="19">
        <f t="shared" ref="K3:AQ3" si="0">K4/$F$4</f>
        <v>3.4632034632034632E-3</v>
      </c>
      <c r="L3" s="19">
        <f t="shared" si="0"/>
        <v>1.0822510822510823E-3</v>
      </c>
      <c r="M3" s="19">
        <f t="shared" si="0"/>
        <v>0</v>
      </c>
      <c r="N3" s="19">
        <f t="shared" si="0"/>
        <v>0</v>
      </c>
      <c r="O3" s="19">
        <f t="shared" si="0"/>
        <v>0</v>
      </c>
      <c r="P3" s="19">
        <f t="shared" si="0"/>
        <v>0</v>
      </c>
      <c r="Q3" s="19">
        <f t="shared" si="0"/>
        <v>4.329004329004329E-4</v>
      </c>
      <c r="R3" s="19">
        <f t="shared" si="0"/>
        <v>0</v>
      </c>
      <c r="S3" s="19">
        <f t="shared" si="0"/>
        <v>0</v>
      </c>
      <c r="T3" s="19">
        <f t="shared" si="0"/>
        <v>0</v>
      </c>
      <c r="U3" s="19">
        <f t="shared" si="0"/>
        <v>1.3636363636363636E-2</v>
      </c>
      <c r="V3" s="19">
        <f t="shared" si="0"/>
        <v>0</v>
      </c>
      <c r="W3" s="19">
        <f t="shared" si="0"/>
        <v>0</v>
      </c>
      <c r="X3" s="19">
        <f t="shared" si="0"/>
        <v>0</v>
      </c>
      <c r="Y3" s="19">
        <f t="shared" si="0"/>
        <v>4.1125541125541128E-3</v>
      </c>
      <c r="Z3" s="19">
        <f t="shared" si="0"/>
        <v>2.1645021645021645E-4</v>
      </c>
      <c r="AA3" s="19">
        <f t="shared" si="0"/>
        <v>0</v>
      </c>
      <c r="AB3" s="19">
        <f t="shared" si="0"/>
        <v>4.5454545454545452E-3</v>
      </c>
      <c r="AC3" s="19">
        <f t="shared" si="0"/>
        <v>8.658008658008658E-4</v>
      </c>
      <c r="AD3" s="19">
        <f t="shared" si="0"/>
        <v>4.329004329004329E-4</v>
      </c>
      <c r="AE3" s="19">
        <f t="shared" si="0"/>
        <v>0</v>
      </c>
      <c r="AF3" s="19">
        <f t="shared" si="0"/>
        <v>0</v>
      </c>
      <c r="AG3" s="19">
        <f t="shared" si="0"/>
        <v>0</v>
      </c>
      <c r="AH3" s="19">
        <f t="shared" si="0"/>
        <v>0</v>
      </c>
      <c r="AI3" s="19">
        <f t="shared" si="0"/>
        <v>0</v>
      </c>
      <c r="AJ3" s="19">
        <f t="shared" si="0"/>
        <v>8.658008658008658E-4</v>
      </c>
      <c r="AK3" s="19">
        <f t="shared" si="0"/>
        <v>0</v>
      </c>
      <c r="AL3" s="19">
        <f t="shared" si="0"/>
        <v>1.038961038961039E-2</v>
      </c>
      <c r="AM3" s="19">
        <f t="shared" si="0"/>
        <v>6.7099567099567102E-3</v>
      </c>
      <c r="AN3" s="19">
        <f t="shared" si="0"/>
        <v>2.1645021645021645E-4</v>
      </c>
      <c r="AO3" s="19">
        <f t="shared" si="0"/>
        <v>0</v>
      </c>
      <c r="AP3" s="19">
        <f t="shared" si="0"/>
        <v>1.9480519480519481E-3</v>
      </c>
      <c r="AQ3" s="19">
        <f t="shared" si="0"/>
        <v>0</v>
      </c>
      <c r="AR3" s="19">
        <f>AR4/$F$4</f>
        <v>0</v>
      </c>
      <c r="AS3" s="19">
        <f t="shared" ref="AS3:AT3" si="1">AS4/$F$4</f>
        <v>0</v>
      </c>
      <c r="AT3" s="19">
        <f t="shared" si="1"/>
        <v>4.329004329004329E-4</v>
      </c>
    </row>
    <row r="4" spans="1:46" s="22" customFormat="1">
      <c r="A4" s="145" t="s">
        <v>32</v>
      </c>
      <c r="B4" s="146"/>
      <c r="C4" s="146"/>
      <c r="D4" s="146"/>
      <c r="E4" s="31">
        <v>85993</v>
      </c>
      <c r="F4" s="35">
        <v>4620</v>
      </c>
      <c r="G4" s="75">
        <f>F4-H4</f>
        <v>4366</v>
      </c>
      <c r="H4" s="75">
        <f>SUM(J4:AT4)</f>
        <v>254</v>
      </c>
      <c r="I4" s="76">
        <f>H4/F4</f>
        <v>5.497835497835498E-2</v>
      </c>
      <c r="J4" s="21">
        <v>26</v>
      </c>
      <c r="K4" s="21">
        <v>16</v>
      </c>
      <c r="L4" s="21">
        <v>5</v>
      </c>
      <c r="M4" s="21">
        <v>0</v>
      </c>
      <c r="N4" s="21">
        <v>0</v>
      </c>
      <c r="O4" s="21">
        <v>0</v>
      </c>
      <c r="P4" s="21">
        <v>0</v>
      </c>
      <c r="Q4" s="21">
        <v>2</v>
      </c>
      <c r="R4" s="21">
        <v>0</v>
      </c>
      <c r="S4" s="21">
        <v>0</v>
      </c>
      <c r="T4" s="21">
        <v>0</v>
      </c>
      <c r="U4" s="21">
        <v>63</v>
      </c>
      <c r="V4" s="21">
        <v>0</v>
      </c>
      <c r="W4" s="21">
        <v>0</v>
      </c>
      <c r="X4" s="21">
        <v>0</v>
      </c>
      <c r="Y4" s="21">
        <v>19</v>
      </c>
      <c r="Z4" s="21">
        <v>1</v>
      </c>
      <c r="AA4" s="21">
        <v>0</v>
      </c>
      <c r="AB4" s="21">
        <v>21</v>
      </c>
      <c r="AC4" s="21">
        <v>4</v>
      </c>
      <c r="AD4" s="21">
        <v>2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4</v>
      </c>
      <c r="AK4" s="21">
        <v>0</v>
      </c>
      <c r="AL4" s="21">
        <v>48</v>
      </c>
      <c r="AM4" s="21">
        <v>31</v>
      </c>
      <c r="AN4" s="21">
        <v>1</v>
      </c>
      <c r="AO4" s="21">
        <v>0</v>
      </c>
      <c r="AP4" s="21">
        <v>9</v>
      </c>
      <c r="AQ4" s="21">
        <v>0</v>
      </c>
      <c r="AR4" s="21">
        <v>0</v>
      </c>
      <c r="AS4" s="21">
        <v>0</v>
      </c>
      <c r="AT4" s="21">
        <v>2</v>
      </c>
    </row>
    <row r="5" spans="1:46" ht="20.45" customHeight="1">
      <c r="A5" s="23"/>
      <c r="B5" s="23"/>
      <c r="C5" s="24"/>
      <c r="D5" s="23"/>
      <c r="E5" s="23"/>
      <c r="F5" s="24"/>
      <c r="G5" s="23"/>
      <c r="H5" s="24"/>
      <c r="I5" s="25" t="e">
        <f t="shared" ref="I5:I8" si="2">H5/F5</f>
        <v>#DIV/0!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spans="1:46" ht="20.45" customHeight="1">
      <c r="A6" s="23"/>
      <c r="B6" s="23"/>
      <c r="C6" s="24"/>
      <c r="D6" s="23"/>
      <c r="E6" s="23"/>
      <c r="F6" s="24"/>
      <c r="G6" s="23"/>
      <c r="H6" s="24"/>
      <c r="I6" s="25" t="e">
        <f t="shared" si="2"/>
        <v>#DIV/0!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</row>
    <row r="7" spans="1:46" ht="20.45" customHeight="1">
      <c r="A7" s="23"/>
      <c r="B7" s="23"/>
      <c r="C7" s="24"/>
      <c r="D7" s="23"/>
      <c r="E7" s="23"/>
      <c r="F7" s="24"/>
      <c r="G7" s="24"/>
      <c r="H7" s="24"/>
      <c r="I7" s="25" t="e">
        <f t="shared" si="2"/>
        <v>#DIV/0!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</row>
    <row r="8" spans="1:46" ht="20.45" customHeight="1">
      <c r="A8" s="23"/>
      <c r="B8" s="23"/>
      <c r="C8" s="24"/>
      <c r="D8" s="23"/>
      <c r="E8" s="23"/>
      <c r="F8" s="24"/>
      <c r="G8" s="23"/>
      <c r="H8" s="24"/>
      <c r="I8" s="25" t="e">
        <f t="shared" si="2"/>
        <v>#DIV/0!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</row>
    <row r="9" spans="1:46" ht="20.45" customHeight="1">
      <c r="A9" s="23"/>
      <c r="B9" s="23"/>
      <c r="C9" s="24"/>
      <c r="D9" s="23"/>
      <c r="E9" s="23"/>
      <c r="F9" s="24"/>
      <c r="G9" s="24"/>
      <c r="H9" s="24"/>
      <c r="I9" s="25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</row>
    <row r="10" spans="1:46" ht="20.45" customHeight="1">
      <c r="A10" s="23"/>
      <c r="B10" s="23"/>
      <c r="C10" s="24"/>
      <c r="D10" s="23"/>
      <c r="E10" s="23"/>
      <c r="F10" s="24"/>
      <c r="G10" s="23"/>
      <c r="H10" s="24"/>
      <c r="I10" s="25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</row>
    <row r="11" spans="1:46" ht="20.45" customHeight="1">
      <c r="A11" s="23"/>
      <c r="B11" s="23"/>
      <c r="C11" s="24"/>
      <c r="D11" s="23"/>
      <c r="E11" s="23"/>
      <c r="F11" s="24"/>
      <c r="G11" s="23"/>
      <c r="H11" s="24"/>
      <c r="I11" s="2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</row>
  </sheetData>
  <mergeCells count="15">
    <mergeCell ref="H2:H3"/>
    <mergeCell ref="I2:I3"/>
    <mergeCell ref="A4:D4"/>
    <mergeCell ref="A2:A3"/>
    <mergeCell ref="B2:B3"/>
    <mergeCell ref="C2:C3"/>
    <mergeCell ref="D2:D3"/>
    <mergeCell ref="F2:F3"/>
    <mergeCell ref="G2:G3"/>
    <mergeCell ref="AR1:AT1"/>
    <mergeCell ref="A1:I1"/>
    <mergeCell ref="J1:O1"/>
    <mergeCell ref="P1:AD1"/>
    <mergeCell ref="AE1:AI1"/>
    <mergeCell ref="AJ1:AQ1"/>
  </mergeCells>
  <printOptions horizontalCentered="1"/>
  <pageMargins left="0.2" right="0.2" top="0.3" bottom="0.2" header="0.3" footer="0.3"/>
  <pageSetup paperSize="9" scale="4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CI11"/>
  <sheetViews>
    <sheetView topLeftCell="BD1" zoomScale="85" zoomScaleNormal="85" workbookViewId="0">
      <selection activeCell="CE5" sqref="CE5"/>
    </sheetView>
  </sheetViews>
  <sheetFormatPr defaultRowHeight="15"/>
  <cols>
    <col min="1" max="1" width="6.7109375" bestFit="1" customWidth="1"/>
    <col min="2" max="2" width="7.5703125" bestFit="1" customWidth="1"/>
    <col min="3" max="3" width="23" customWidth="1"/>
    <col min="4" max="4" width="45.85546875" customWidth="1"/>
    <col min="5" max="5" width="18" customWidth="1"/>
    <col min="6" max="8" width="10" customWidth="1"/>
    <col min="9" max="9" width="10" style="27" customWidth="1"/>
    <col min="10" max="46" width="7.28515625" customWidth="1"/>
  </cols>
  <sheetData>
    <row r="1" spans="1:87" s="17" customFormat="1" ht="15" customHeight="1" thickBot="1">
      <c r="A1" s="150"/>
      <c r="B1" s="150"/>
      <c r="C1" s="150"/>
      <c r="D1" s="150"/>
      <c r="E1" s="150"/>
      <c r="F1" s="150"/>
      <c r="G1" s="150"/>
      <c r="H1" s="150"/>
      <c r="I1" s="151"/>
      <c r="J1" s="147" t="s">
        <v>19</v>
      </c>
      <c r="K1" s="148"/>
      <c r="L1" s="148"/>
      <c r="M1" s="148"/>
      <c r="N1" s="148"/>
      <c r="O1" s="149"/>
      <c r="P1" s="147" t="s">
        <v>20</v>
      </c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9"/>
      <c r="AE1" s="147" t="s">
        <v>21</v>
      </c>
      <c r="AF1" s="148"/>
      <c r="AG1" s="148"/>
      <c r="AH1" s="148"/>
      <c r="AI1" s="152"/>
      <c r="AJ1" s="147" t="s">
        <v>22</v>
      </c>
      <c r="AK1" s="148"/>
      <c r="AL1" s="148"/>
      <c r="AM1" s="148"/>
      <c r="AN1" s="148"/>
      <c r="AO1" s="149"/>
      <c r="AP1" s="30"/>
      <c r="AQ1" s="30"/>
      <c r="AR1" s="147" t="s">
        <v>23</v>
      </c>
      <c r="AS1" s="148"/>
      <c r="AT1" s="149"/>
    </row>
    <row r="2" spans="1:87" ht="130.5" thickBot="1">
      <c r="A2" s="143" t="s">
        <v>24</v>
      </c>
      <c r="B2" s="143" t="s">
        <v>25</v>
      </c>
      <c r="C2" s="143" t="s">
        <v>26</v>
      </c>
      <c r="D2" s="143" t="s">
        <v>27</v>
      </c>
      <c r="E2" s="28" t="s">
        <v>33</v>
      </c>
      <c r="F2" s="143" t="s">
        <v>28</v>
      </c>
      <c r="G2" s="143" t="s">
        <v>29</v>
      </c>
      <c r="H2" s="143" t="s">
        <v>30</v>
      </c>
      <c r="I2" s="143" t="s">
        <v>31</v>
      </c>
      <c r="J2" s="77" t="s">
        <v>39</v>
      </c>
      <c r="K2" s="78" t="s">
        <v>40</v>
      </c>
      <c r="L2" s="78" t="s">
        <v>41</v>
      </c>
      <c r="M2" s="78" t="s">
        <v>42</v>
      </c>
      <c r="N2" s="78" t="s">
        <v>43</v>
      </c>
      <c r="O2" s="78" t="s">
        <v>44</v>
      </c>
      <c r="P2" s="78" t="s">
        <v>45</v>
      </c>
      <c r="Q2" s="78" t="s">
        <v>46</v>
      </c>
      <c r="R2" s="78" t="s">
        <v>47</v>
      </c>
      <c r="S2" s="78" t="s">
        <v>48</v>
      </c>
      <c r="T2" s="78" t="s">
        <v>49</v>
      </c>
      <c r="U2" s="78" t="s">
        <v>50</v>
      </c>
      <c r="V2" s="79" t="s">
        <v>51</v>
      </c>
      <c r="W2" s="80" t="s">
        <v>52</v>
      </c>
      <c r="X2" s="81" t="s">
        <v>53</v>
      </c>
      <c r="Y2" s="81" t="s">
        <v>54</v>
      </c>
      <c r="Z2" s="81" t="s">
        <v>55</v>
      </c>
      <c r="AA2" s="81" t="s">
        <v>56</v>
      </c>
      <c r="AB2" s="81" t="s">
        <v>57</v>
      </c>
      <c r="AC2" s="81" t="s">
        <v>58</v>
      </c>
      <c r="AD2" s="81" t="s">
        <v>59</v>
      </c>
      <c r="AE2" s="81" t="s">
        <v>60</v>
      </c>
      <c r="AF2" s="81" t="s">
        <v>61</v>
      </c>
      <c r="AG2" s="81" t="s">
        <v>62</v>
      </c>
      <c r="AH2" s="81" t="s">
        <v>63</v>
      </c>
      <c r="AI2" s="81" t="s">
        <v>64</v>
      </c>
      <c r="AJ2" s="81" t="s">
        <v>65</v>
      </c>
      <c r="AK2" s="81" t="s">
        <v>66</v>
      </c>
      <c r="AL2" s="81" t="s">
        <v>67</v>
      </c>
      <c r="AM2" s="81" t="s">
        <v>68</v>
      </c>
      <c r="AN2" s="81" t="s">
        <v>69</v>
      </c>
      <c r="AO2" s="81" t="s">
        <v>70</v>
      </c>
      <c r="AP2" s="81" t="s">
        <v>71</v>
      </c>
      <c r="AQ2" s="81" t="s">
        <v>72</v>
      </c>
      <c r="AR2" s="81" t="s">
        <v>73</v>
      </c>
      <c r="AS2" s="81" t="s">
        <v>74</v>
      </c>
      <c r="AT2" s="81" t="s">
        <v>75</v>
      </c>
      <c r="AU2" s="82" t="s">
        <v>76</v>
      </c>
      <c r="AV2" s="82" t="s">
        <v>77</v>
      </c>
      <c r="AW2" s="82" t="s">
        <v>78</v>
      </c>
      <c r="AX2" s="82" t="s">
        <v>79</v>
      </c>
      <c r="AY2" s="82" t="s">
        <v>80</v>
      </c>
      <c r="AZ2" s="82" t="s">
        <v>81</v>
      </c>
      <c r="BA2" s="82" t="s">
        <v>82</v>
      </c>
      <c r="BB2" s="82" t="s">
        <v>83</v>
      </c>
      <c r="BC2" s="82" t="s">
        <v>84</v>
      </c>
      <c r="BD2" s="82" t="s">
        <v>85</v>
      </c>
      <c r="BE2" s="82" t="s">
        <v>86</v>
      </c>
      <c r="BF2" s="82" t="s">
        <v>87</v>
      </c>
      <c r="BG2" s="82" t="s">
        <v>88</v>
      </c>
      <c r="BH2" s="82" t="s">
        <v>89</v>
      </c>
      <c r="BI2" s="82" t="s">
        <v>90</v>
      </c>
      <c r="BJ2" s="82" t="s">
        <v>91</v>
      </c>
      <c r="BK2" s="82" t="s">
        <v>92</v>
      </c>
      <c r="BL2" s="82" t="s">
        <v>93</v>
      </c>
      <c r="BM2" s="82" t="s">
        <v>94</v>
      </c>
      <c r="BN2" s="83" t="s">
        <v>95</v>
      </c>
      <c r="BO2" s="84" t="s">
        <v>96</v>
      </c>
      <c r="BP2" s="85" t="s">
        <v>97</v>
      </c>
      <c r="BQ2" s="85" t="s">
        <v>98</v>
      </c>
      <c r="BR2" s="85" t="s">
        <v>99</v>
      </c>
      <c r="BS2" s="85" t="s">
        <v>100</v>
      </c>
      <c r="BT2" s="85" t="s">
        <v>101</v>
      </c>
      <c r="BU2" s="85" t="s">
        <v>102</v>
      </c>
      <c r="BV2" s="85" t="s">
        <v>103</v>
      </c>
      <c r="BW2" s="86" t="s">
        <v>104</v>
      </c>
      <c r="BX2" s="84" t="s">
        <v>105</v>
      </c>
      <c r="BY2" s="85" t="s">
        <v>106</v>
      </c>
      <c r="BZ2" s="87" t="s">
        <v>107</v>
      </c>
      <c r="CA2" s="87" t="s">
        <v>108</v>
      </c>
      <c r="CB2" s="87" t="s">
        <v>109</v>
      </c>
      <c r="CC2" s="88" t="s">
        <v>110</v>
      </c>
      <c r="CD2" s="89" t="s">
        <v>111</v>
      </c>
      <c r="CE2" s="87" t="s">
        <v>112</v>
      </c>
      <c r="CF2" s="88" t="s">
        <v>113</v>
      </c>
      <c r="CG2" s="89" t="s">
        <v>114</v>
      </c>
      <c r="CH2" s="87" t="s">
        <v>115</v>
      </c>
      <c r="CI2" s="88" t="s">
        <v>116</v>
      </c>
    </row>
    <row r="3" spans="1:87" s="20" customFormat="1" ht="12">
      <c r="A3" s="144"/>
      <c r="B3" s="144"/>
      <c r="C3" s="144"/>
      <c r="D3" s="144"/>
      <c r="E3" s="29"/>
      <c r="F3" s="144"/>
      <c r="G3" s="144"/>
      <c r="H3" s="144"/>
      <c r="I3" s="144"/>
      <c r="J3" s="19">
        <f>J4/$F$4</f>
        <v>0</v>
      </c>
      <c r="K3" s="19">
        <f t="shared" ref="K3:BV3" si="0">K4/$F$4</f>
        <v>0</v>
      </c>
      <c r="L3" s="19">
        <f t="shared" si="0"/>
        <v>0</v>
      </c>
      <c r="M3" s="19">
        <f t="shared" si="0"/>
        <v>0</v>
      </c>
      <c r="N3" s="19">
        <f t="shared" si="0"/>
        <v>0</v>
      </c>
      <c r="O3" s="19">
        <f t="shared" si="0"/>
        <v>0</v>
      </c>
      <c r="P3" s="19">
        <f t="shared" si="0"/>
        <v>0</v>
      </c>
      <c r="Q3" s="19">
        <f t="shared" si="0"/>
        <v>0</v>
      </c>
      <c r="R3" s="19">
        <f t="shared" si="0"/>
        <v>0</v>
      </c>
      <c r="S3" s="19">
        <f t="shared" si="0"/>
        <v>0</v>
      </c>
      <c r="T3" s="19">
        <f t="shared" si="0"/>
        <v>0</v>
      </c>
      <c r="U3" s="19">
        <f t="shared" si="0"/>
        <v>0</v>
      </c>
      <c r="V3" s="19">
        <f t="shared" si="0"/>
        <v>0</v>
      </c>
      <c r="W3" s="19">
        <f t="shared" si="0"/>
        <v>4.0000000000000001E-3</v>
      </c>
      <c r="X3" s="19">
        <f t="shared" si="0"/>
        <v>4.0000000000000001E-3</v>
      </c>
      <c r="Y3" s="19">
        <f t="shared" si="0"/>
        <v>0</v>
      </c>
      <c r="Z3" s="19">
        <f t="shared" si="0"/>
        <v>0</v>
      </c>
      <c r="AA3" s="19">
        <f t="shared" si="0"/>
        <v>0</v>
      </c>
      <c r="AB3" s="19">
        <f t="shared" si="0"/>
        <v>0</v>
      </c>
      <c r="AC3" s="19">
        <f t="shared" si="0"/>
        <v>0</v>
      </c>
      <c r="AD3" s="19">
        <f t="shared" si="0"/>
        <v>0</v>
      </c>
      <c r="AE3" s="19">
        <f t="shared" si="0"/>
        <v>6.0000000000000001E-3</v>
      </c>
      <c r="AF3" s="19">
        <f t="shared" si="0"/>
        <v>0</v>
      </c>
      <c r="AG3" s="19">
        <f t="shared" si="0"/>
        <v>0</v>
      </c>
      <c r="AH3" s="19">
        <f t="shared" si="0"/>
        <v>0</v>
      </c>
      <c r="AI3" s="19">
        <f t="shared" si="0"/>
        <v>2E-3</v>
      </c>
      <c r="AJ3" s="19">
        <f t="shared" si="0"/>
        <v>0</v>
      </c>
      <c r="AK3" s="19">
        <f t="shared" si="0"/>
        <v>0</v>
      </c>
      <c r="AL3" s="19">
        <f t="shared" si="0"/>
        <v>0</v>
      </c>
      <c r="AM3" s="19">
        <f t="shared" si="0"/>
        <v>0</v>
      </c>
      <c r="AN3" s="19">
        <f t="shared" si="0"/>
        <v>0</v>
      </c>
      <c r="AO3" s="19">
        <f t="shared" si="0"/>
        <v>0</v>
      </c>
      <c r="AP3" s="19">
        <f t="shared" si="0"/>
        <v>0</v>
      </c>
      <c r="AQ3" s="19">
        <f t="shared" si="0"/>
        <v>0</v>
      </c>
      <c r="AR3" s="19">
        <f t="shared" si="0"/>
        <v>0</v>
      </c>
      <c r="AS3" s="19">
        <f t="shared" si="0"/>
        <v>2E-3</v>
      </c>
      <c r="AT3" s="19">
        <f t="shared" si="0"/>
        <v>0</v>
      </c>
      <c r="AU3" s="19">
        <f t="shared" si="0"/>
        <v>0</v>
      </c>
      <c r="AV3" s="19">
        <f t="shared" si="0"/>
        <v>0</v>
      </c>
      <c r="AW3" s="19">
        <f t="shared" si="0"/>
        <v>0</v>
      </c>
      <c r="AX3" s="19">
        <f t="shared" si="0"/>
        <v>0</v>
      </c>
      <c r="AY3" s="19">
        <f t="shared" si="0"/>
        <v>0</v>
      </c>
      <c r="AZ3" s="19">
        <f t="shared" si="0"/>
        <v>8.0000000000000002E-3</v>
      </c>
      <c r="BA3" s="19">
        <f t="shared" si="0"/>
        <v>0</v>
      </c>
      <c r="BB3" s="19">
        <f t="shared" si="0"/>
        <v>0</v>
      </c>
      <c r="BC3" s="19">
        <f t="shared" si="0"/>
        <v>0</v>
      </c>
      <c r="BD3" s="19">
        <f t="shared" si="0"/>
        <v>0</v>
      </c>
      <c r="BE3" s="19">
        <f t="shared" si="0"/>
        <v>0</v>
      </c>
      <c r="BF3" s="19">
        <f t="shared" si="0"/>
        <v>0</v>
      </c>
      <c r="BG3" s="19">
        <f t="shared" si="0"/>
        <v>0</v>
      </c>
      <c r="BH3" s="19">
        <f t="shared" si="0"/>
        <v>0</v>
      </c>
      <c r="BI3" s="19">
        <f t="shared" si="0"/>
        <v>0</v>
      </c>
      <c r="BJ3" s="19">
        <f t="shared" si="0"/>
        <v>0</v>
      </c>
      <c r="BK3" s="19">
        <f t="shared" si="0"/>
        <v>0</v>
      </c>
      <c r="BL3" s="19">
        <f t="shared" si="0"/>
        <v>0</v>
      </c>
      <c r="BM3" s="19">
        <f t="shared" si="0"/>
        <v>0</v>
      </c>
      <c r="BN3" s="19">
        <f t="shared" si="0"/>
        <v>0</v>
      </c>
      <c r="BO3" s="19">
        <f t="shared" si="0"/>
        <v>0</v>
      </c>
      <c r="BP3" s="19">
        <f t="shared" si="0"/>
        <v>0</v>
      </c>
      <c r="BQ3" s="19">
        <f t="shared" si="0"/>
        <v>0</v>
      </c>
      <c r="BR3" s="19">
        <f t="shared" si="0"/>
        <v>0</v>
      </c>
      <c r="BS3" s="19">
        <f t="shared" si="0"/>
        <v>0</v>
      </c>
      <c r="BT3" s="19">
        <f t="shared" si="0"/>
        <v>0</v>
      </c>
      <c r="BU3" s="19">
        <f t="shared" si="0"/>
        <v>0</v>
      </c>
      <c r="BV3" s="19">
        <f t="shared" si="0"/>
        <v>0</v>
      </c>
      <c r="BW3" s="19">
        <f t="shared" ref="BW3:CI3" si="1">BW4/$F$4</f>
        <v>0</v>
      </c>
      <c r="BX3" s="19">
        <f t="shared" si="1"/>
        <v>0</v>
      </c>
      <c r="BY3" s="19">
        <f t="shared" si="1"/>
        <v>6.0000000000000001E-3</v>
      </c>
      <c r="BZ3" s="19">
        <f t="shared" si="1"/>
        <v>0.1</v>
      </c>
      <c r="CA3" s="19">
        <f t="shared" si="1"/>
        <v>0.12</v>
      </c>
      <c r="CB3" s="19">
        <f t="shared" si="1"/>
        <v>0.14000000000000001</v>
      </c>
      <c r="CC3" s="19">
        <f t="shared" si="1"/>
        <v>0.16</v>
      </c>
      <c r="CD3" s="19">
        <f t="shared" si="1"/>
        <v>2E-3</v>
      </c>
      <c r="CE3" s="19">
        <f t="shared" si="1"/>
        <v>0.08</v>
      </c>
      <c r="CF3" s="19">
        <f t="shared" si="1"/>
        <v>0</v>
      </c>
      <c r="CG3" s="19">
        <f t="shared" si="1"/>
        <v>0</v>
      </c>
      <c r="CH3" s="19">
        <f t="shared" si="1"/>
        <v>0</v>
      </c>
      <c r="CI3" s="19">
        <f t="shared" si="1"/>
        <v>0</v>
      </c>
    </row>
    <row r="4" spans="1:87" s="22" customFormat="1">
      <c r="A4" s="145" t="s">
        <v>32</v>
      </c>
      <c r="B4" s="146"/>
      <c r="C4" s="146"/>
      <c r="D4" s="146"/>
      <c r="E4" s="31">
        <v>600</v>
      </c>
      <c r="F4" s="35">
        <v>500</v>
      </c>
      <c r="G4" s="75">
        <f>F4-H4</f>
        <v>183</v>
      </c>
      <c r="H4" s="75">
        <f>SUM(J4:CI4)</f>
        <v>317</v>
      </c>
      <c r="I4" s="76">
        <f>H4/F4</f>
        <v>0.63400000000000001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2</v>
      </c>
      <c r="X4" s="21">
        <v>2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3</v>
      </c>
      <c r="AF4" s="21">
        <v>0</v>
      </c>
      <c r="AG4" s="21">
        <v>0</v>
      </c>
      <c r="AH4" s="21">
        <v>0</v>
      </c>
      <c r="AI4" s="21">
        <v>1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1</v>
      </c>
      <c r="AT4" s="21">
        <v>0</v>
      </c>
      <c r="AU4" s="90">
        <v>0</v>
      </c>
      <c r="AV4" s="90">
        <v>0</v>
      </c>
      <c r="AW4" s="90">
        <v>0</v>
      </c>
      <c r="AX4" s="90">
        <v>0</v>
      </c>
      <c r="AY4" s="90">
        <v>0</v>
      </c>
      <c r="AZ4" s="90">
        <v>4</v>
      </c>
      <c r="BA4" s="90">
        <v>0</v>
      </c>
      <c r="BB4" s="90">
        <v>0</v>
      </c>
      <c r="BC4" s="90">
        <v>0</v>
      </c>
      <c r="BD4" s="90">
        <v>0</v>
      </c>
      <c r="BE4" s="90">
        <v>0</v>
      </c>
      <c r="BF4" s="90">
        <v>0</v>
      </c>
      <c r="BG4" s="90">
        <v>0</v>
      </c>
      <c r="BH4" s="90">
        <v>0</v>
      </c>
      <c r="BI4" s="90">
        <v>0</v>
      </c>
      <c r="BJ4" s="90">
        <v>0</v>
      </c>
      <c r="BK4" s="90">
        <v>0</v>
      </c>
      <c r="BL4" s="90">
        <v>0</v>
      </c>
      <c r="BM4" s="90">
        <v>0</v>
      </c>
      <c r="BN4" s="90">
        <v>0</v>
      </c>
      <c r="BO4" s="90">
        <v>0</v>
      </c>
      <c r="BP4" s="90">
        <v>0</v>
      </c>
      <c r="BQ4" s="90">
        <v>0</v>
      </c>
      <c r="BR4" s="90">
        <v>0</v>
      </c>
      <c r="BS4" s="90">
        <v>0</v>
      </c>
      <c r="BT4" s="90">
        <v>0</v>
      </c>
      <c r="BU4" s="90">
        <v>0</v>
      </c>
      <c r="BV4" s="90">
        <v>0</v>
      </c>
      <c r="BW4" s="90">
        <v>0</v>
      </c>
      <c r="BX4" s="90">
        <v>0</v>
      </c>
      <c r="BY4" s="90">
        <v>3</v>
      </c>
      <c r="BZ4" s="90">
        <v>50</v>
      </c>
      <c r="CA4" s="90">
        <v>60</v>
      </c>
      <c r="CB4" s="90">
        <v>70</v>
      </c>
      <c r="CC4" s="90">
        <v>80</v>
      </c>
      <c r="CD4" s="90">
        <v>1</v>
      </c>
      <c r="CE4" s="90">
        <v>40</v>
      </c>
      <c r="CF4" s="90">
        <v>0</v>
      </c>
      <c r="CG4" s="90">
        <v>0</v>
      </c>
      <c r="CH4" s="90">
        <v>0</v>
      </c>
      <c r="CI4" s="90">
        <v>0</v>
      </c>
    </row>
    <row r="5" spans="1:87" ht="20.45" customHeight="1">
      <c r="A5" s="23"/>
      <c r="B5" s="23"/>
      <c r="C5" s="24"/>
      <c r="D5" s="23"/>
      <c r="E5" s="23"/>
      <c r="F5" s="24"/>
      <c r="G5" s="23"/>
      <c r="H5" s="24"/>
      <c r="I5" s="25" t="e">
        <f t="shared" ref="I5:I8" si="2">H5/F5</f>
        <v>#DIV/0!</v>
      </c>
      <c r="J5" s="21">
        <v>0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</row>
    <row r="6" spans="1:87" ht="20.45" customHeight="1">
      <c r="A6" s="23"/>
      <c r="B6" s="23"/>
      <c r="C6" s="24"/>
      <c r="D6" s="23"/>
      <c r="E6" s="23"/>
      <c r="F6" s="24"/>
      <c r="G6" s="23"/>
      <c r="H6" s="24"/>
      <c r="I6" s="25" t="e">
        <f t="shared" si="2"/>
        <v>#DIV/0!</v>
      </c>
      <c r="J6" s="21">
        <v>0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</row>
    <row r="7" spans="1:87" ht="20.45" customHeight="1">
      <c r="A7" s="23"/>
      <c r="B7" s="23"/>
      <c r="C7" s="24"/>
      <c r="D7" s="23"/>
      <c r="E7" s="23"/>
      <c r="F7" s="24"/>
      <c r="G7" s="24"/>
      <c r="H7" s="24"/>
      <c r="I7" s="25" t="e">
        <f t="shared" si="2"/>
        <v>#DIV/0!</v>
      </c>
      <c r="J7" s="21">
        <v>0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</row>
    <row r="8" spans="1:87" ht="20.45" customHeight="1">
      <c r="A8" s="23"/>
      <c r="B8" s="23"/>
      <c r="C8" s="24"/>
      <c r="D8" s="23"/>
      <c r="E8" s="23"/>
      <c r="F8" s="24"/>
      <c r="G8" s="23"/>
      <c r="H8" s="24"/>
      <c r="I8" s="25" t="e">
        <f t="shared" si="2"/>
        <v>#DIV/0!</v>
      </c>
      <c r="J8" s="21">
        <v>0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</row>
    <row r="9" spans="1:87" ht="20.45" customHeight="1">
      <c r="A9" s="23"/>
      <c r="B9" s="23"/>
      <c r="C9" s="24"/>
      <c r="D9" s="23"/>
      <c r="E9" s="23"/>
      <c r="F9" s="24"/>
      <c r="G9" s="24"/>
      <c r="H9" s="24"/>
      <c r="I9" s="25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</row>
    <row r="10" spans="1:87" ht="20.45" customHeight="1">
      <c r="A10" s="23"/>
      <c r="B10" s="23"/>
      <c r="C10" s="24"/>
      <c r="D10" s="23"/>
      <c r="E10" s="23"/>
      <c r="F10" s="24"/>
      <c r="G10" s="23"/>
      <c r="H10" s="24"/>
      <c r="I10" s="25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</row>
    <row r="11" spans="1:87" ht="20.45" customHeight="1">
      <c r="A11" s="23"/>
      <c r="B11" s="23"/>
      <c r="C11" s="24"/>
      <c r="D11" s="23"/>
      <c r="E11" s="23"/>
      <c r="F11" s="24"/>
      <c r="G11" s="23"/>
      <c r="H11" s="24"/>
      <c r="I11" s="2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</row>
  </sheetData>
  <mergeCells count="15">
    <mergeCell ref="AR1:AT1"/>
    <mergeCell ref="A1:I1"/>
    <mergeCell ref="J1:O1"/>
    <mergeCell ref="P1:AD1"/>
    <mergeCell ref="AE1:AI1"/>
    <mergeCell ref="AJ1:AO1"/>
    <mergeCell ref="H2:H3"/>
    <mergeCell ref="I2:I3"/>
    <mergeCell ref="A4:D4"/>
    <mergeCell ref="A2:A3"/>
    <mergeCell ref="B2:B3"/>
    <mergeCell ref="C2:C3"/>
    <mergeCell ref="D2:D3"/>
    <mergeCell ref="F2:F3"/>
    <mergeCell ref="G2:G3"/>
  </mergeCells>
  <printOptions horizontalCentered="1"/>
  <pageMargins left="0.2" right="0.2" top="0.3" bottom="0.2" header="0.3" footer="0.3"/>
  <pageSetup paperSize="9" scale="4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CI11"/>
  <sheetViews>
    <sheetView zoomScale="85" zoomScaleNormal="85" workbookViewId="0">
      <selection activeCell="P7" sqref="P7"/>
    </sheetView>
  </sheetViews>
  <sheetFormatPr defaultRowHeight="15"/>
  <cols>
    <col min="1" max="1" width="6.7109375" bestFit="1" customWidth="1"/>
    <col min="2" max="2" width="7.5703125" bestFit="1" customWidth="1"/>
    <col min="3" max="3" width="23" customWidth="1"/>
    <col min="4" max="4" width="45.85546875" customWidth="1"/>
    <col min="5" max="5" width="18" customWidth="1"/>
    <col min="6" max="8" width="10" customWidth="1"/>
    <col min="9" max="9" width="10" style="27" customWidth="1"/>
    <col min="10" max="46" width="7.28515625" customWidth="1"/>
  </cols>
  <sheetData>
    <row r="1" spans="1:87" s="17" customFormat="1" ht="15" customHeight="1" thickBot="1">
      <c r="A1" s="150"/>
      <c r="B1" s="150"/>
      <c r="C1" s="150"/>
      <c r="D1" s="150"/>
      <c r="E1" s="150"/>
      <c r="F1" s="150"/>
      <c r="G1" s="150"/>
      <c r="H1" s="150"/>
      <c r="I1" s="151"/>
      <c r="J1" s="147" t="s">
        <v>19</v>
      </c>
      <c r="K1" s="148"/>
      <c r="L1" s="148"/>
      <c r="M1" s="148"/>
      <c r="N1" s="148"/>
      <c r="O1" s="149"/>
      <c r="P1" s="147" t="s">
        <v>20</v>
      </c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9"/>
      <c r="AE1" s="147" t="s">
        <v>21</v>
      </c>
      <c r="AF1" s="148"/>
      <c r="AG1" s="148"/>
      <c r="AH1" s="148"/>
      <c r="AI1" s="152"/>
      <c r="AJ1" s="147" t="s">
        <v>22</v>
      </c>
      <c r="AK1" s="148"/>
      <c r="AL1" s="148"/>
      <c r="AM1" s="148"/>
      <c r="AN1" s="148"/>
      <c r="AO1" s="149"/>
      <c r="AP1" s="30"/>
      <c r="AQ1" s="30"/>
      <c r="AR1" s="147" t="s">
        <v>23</v>
      </c>
      <c r="AS1" s="148"/>
      <c r="AT1" s="149"/>
    </row>
    <row r="2" spans="1:87" ht="130.5" thickBot="1">
      <c r="A2" s="143" t="s">
        <v>24</v>
      </c>
      <c r="B2" s="143" t="s">
        <v>25</v>
      </c>
      <c r="C2" s="143" t="s">
        <v>26</v>
      </c>
      <c r="D2" s="143" t="s">
        <v>27</v>
      </c>
      <c r="E2" s="28" t="s">
        <v>33</v>
      </c>
      <c r="F2" s="143" t="s">
        <v>28</v>
      </c>
      <c r="G2" s="143" t="s">
        <v>29</v>
      </c>
      <c r="H2" s="143" t="s">
        <v>30</v>
      </c>
      <c r="I2" s="143" t="s">
        <v>31</v>
      </c>
      <c r="J2" s="77" t="s">
        <v>39</v>
      </c>
      <c r="K2" s="78" t="s">
        <v>40</v>
      </c>
      <c r="L2" s="78" t="s">
        <v>41</v>
      </c>
      <c r="M2" s="78" t="s">
        <v>42</v>
      </c>
      <c r="N2" s="78" t="s">
        <v>43</v>
      </c>
      <c r="O2" s="78" t="s">
        <v>44</v>
      </c>
      <c r="P2" s="78" t="s">
        <v>45</v>
      </c>
      <c r="Q2" s="78" t="s">
        <v>46</v>
      </c>
      <c r="R2" s="78" t="s">
        <v>47</v>
      </c>
      <c r="S2" s="78" t="s">
        <v>48</v>
      </c>
      <c r="T2" s="78" t="s">
        <v>49</v>
      </c>
      <c r="U2" s="78" t="s">
        <v>50</v>
      </c>
      <c r="V2" s="79" t="s">
        <v>51</v>
      </c>
      <c r="W2" s="80" t="s">
        <v>52</v>
      </c>
      <c r="X2" s="81" t="s">
        <v>53</v>
      </c>
      <c r="Y2" s="81" t="s">
        <v>54</v>
      </c>
      <c r="Z2" s="81" t="s">
        <v>55</v>
      </c>
      <c r="AA2" s="81" t="s">
        <v>56</v>
      </c>
      <c r="AB2" s="81" t="s">
        <v>57</v>
      </c>
      <c r="AC2" s="81" t="s">
        <v>58</v>
      </c>
      <c r="AD2" s="81" t="s">
        <v>59</v>
      </c>
      <c r="AE2" s="81" t="s">
        <v>60</v>
      </c>
      <c r="AF2" s="81" t="s">
        <v>61</v>
      </c>
      <c r="AG2" s="81" t="s">
        <v>62</v>
      </c>
      <c r="AH2" s="81" t="s">
        <v>63</v>
      </c>
      <c r="AI2" s="81" t="s">
        <v>64</v>
      </c>
      <c r="AJ2" s="81" t="s">
        <v>65</v>
      </c>
      <c r="AK2" s="81" t="s">
        <v>66</v>
      </c>
      <c r="AL2" s="81" t="s">
        <v>67</v>
      </c>
      <c r="AM2" s="81" t="s">
        <v>68</v>
      </c>
      <c r="AN2" s="81" t="s">
        <v>69</v>
      </c>
      <c r="AO2" s="81" t="s">
        <v>70</v>
      </c>
      <c r="AP2" s="81" t="s">
        <v>71</v>
      </c>
      <c r="AQ2" s="81" t="s">
        <v>72</v>
      </c>
      <c r="AR2" s="81" t="s">
        <v>73</v>
      </c>
      <c r="AS2" s="81" t="s">
        <v>74</v>
      </c>
      <c r="AT2" s="81" t="s">
        <v>75</v>
      </c>
      <c r="AU2" s="82" t="s">
        <v>76</v>
      </c>
      <c r="AV2" s="82" t="s">
        <v>77</v>
      </c>
      <c r="AW2" s="82" t="s">
        <v>78</v>
      </c>
      <c r="AX2" s="82" t="s">
        <v>79</v>
      </c>
      <c r="AY2" s="82" t="s">
        <v>80</v>
      </c>
      <c r="AZ2" s="82" t="s">
        <v>81</v>
      </c>
      <c r="BA2" s="82" t="s">
        <v>82</v>
      </c>
      <c r="BB2" s="82" t="s">
        <v>83</v>
      </c>
      <c r="BC2" s="82" t="s">
        <v>84</v>
      </c>
      <c r="BD2" s="82" t="s">
        <v>85</v>
      </c>
      <c r="BE2" s="82" t="s">
        <v>86</v>
      </c>
      <c r="BF2" s="82" t="s">
        <v>87</v>
      </c>
      <c r="BG2" s="82" t="s">
        <v>88</v>
      </c>
      <c r="BH2" s="82" t="s">
        <v>89</v>
      </c>
      <c r="BI2" s="82" t="s">
        <v>90</v>
      </c>
      <c r="BJ2" s="82" t="s">
        <v>91</v>
      </c>
      <c r="BK2" s="82" t="s">
        <v>92</v>
      </c>
      <c r="BL2" s="82" t="s">
        <v>93</v>
      </c>
      <c r="BM2" s="82" t="s">
        <v>94</v>
      </c>
      <c r="BN2" s="83" t="s">
        <v>95</v>
      </c>
      <c r="BO2" s="84" t="s">
        <v>96</v>
      </c>
      <c r="BP2" s="85" t="s">
        <v>97</v>
      </c>
      <c r="BQ2" s="85" t="s">
        <v>98</v>
      </c>
      <c r="BR2" s="85" t="s">
        <v>99</v>
      </c>
      <c r="BS2" s="85" t="s">
        <v>100</v>
      </c>
      <c r="BT2" s="85" t="s">
        <v>101</v>
      </c>
      <c r="BU2" s="85" t="s">
        <v>102</v>
      </c>
      <c r="BV2" s="85" t="s">
        <v>103</v>
      </c>
      <c r="BW2" s="86" t="s">
        <v>104</v>
      </c>
      <c r="BX2" s="84" t="s">
        <v>105</v>
      </c>
      <c r="BY2" s="85" t="s">
        <v>106</v>
      </c>
      <c r="BZ2" s="87" t="s">
        <v>107</v>
      </c>
      <c r="CA2" s="87" t="s">
        <v>108</v>
      </c>
      <c r="CB2" s="87" t="s">
        <v>109</v>
      </c>
      <c r="CC2" s="88" t="s">
        <v>110</v>
      </c>
      <c r="CD2" s="89" t="s">
        <v>111</v>
      </c>
      <c r="CE2" s="87" t="s">
        <v>112</v>
      </c>
      <c r="CF2" s="88" t="s">
        <v>113</v>
      </c>
      <c r="CG2" s="89" t="s">
        <v>114</v>
      </c>
      <c r="CH2" s="87" t="s">
        <v>115</v>
      </c>
      <c r="CI2" s="88" t="s">
        <v>116</v>
      </c>
    </row>
    <row r="3" spans="1:87" s="20" customFormat="1" ht="12">
      <c r="A3" s="144"/>
      <c r="B3" s="144"/>
      <c r="C3" s="144"/>
      <c r="D3" s="144"/>
      <c r="E3" s="29"/>
      <c r="F3" s="144"/>
      <c r="G3" s="144"/>
      <c r="H3" s="144"/>
      <c r="I3" s="144"/>
      <c r="J3" s="19">
        <f>J4/$F$4</f>
        <v>0</v>
      </c>
      <c r="K3" s="19">
        <f t="shared" ref="K3:BV3" si="0">K4/$F$4</f>
        <v>0</v>
      </c>
      <c r="L3" s="19">
        <f t="shared" si="0"/>
        <v>3.6900369003690036E-3</v>
      </c>
      <c r="M3" s="19">
        <f t="shared" si="0"/>
        <v>0</v>
      </c>
      <c r="N3" s="19">
        <f t="shared" si="0"/>
        <v>0</v>
      </c>
      <c r="O3" s="19">
        <f t="shared" si="0"/>
        <v>0</v>
      </c>
      <c r="P3" s="19">
        <f t="shared" si="0"/>
        <v>0</v>
      </c>
      <c r="Q3" s="19">
        <f t="shared" si="0"/>
        <v>0</v>
      </c>
      <c r="R3" s="19">
        <f t="shared" si="0"/>
        <v>0</v>
      </c>
      <c r="S3" s="19">
        <f t="shared" si="0"/>
        <v>0</v>
      </c>
      <c r="T3" s="19">
        <f t="shared" si="0"/>
        <v>0</v>
      </c>
      <c r="U3" s="19">
        <f t="shared" si="0"/>
        <v>0</v>
      </c>
      <c r="V3" s="19">
        <f t="shared" si="0"/>
        <v>0</v>
      </c>
      <c r="W3" s="19">
        <f t="shared" si="0"/>
        <v>0</v>
      </c>
      <c r="X3" s="19">
        <f t="shared" si="0"/>
        <v>0</v>
      </c>
      <c r="Y3" s="19">
        <f t="shared" si="0"/>
        <v>0</v>
      </c>
      <c r="Z3" s="19">
        <f t="shared" si="0"/>
        <v>0</v>
      </c>
      <c r="AA3" s="19">
        <f t="shared" si="0"/>
        <v>0</v>
      </c>
      <c r="AB3" s="19">
        <f t="shared" si="0"/>
        <v>0</v>
      </c>
      <c r="AC3" s="19">
        <f t="shared" si="0"/>
        <v>0</v>
      </c>
      <c r="AD3" s="19">
        <f t="shared" si="0"/>
        <v>0</v>
      </c>
      <c r="AE3" s="19">
        <f t="shared" si="0"/>
        <v>5.5350553505535052E-3</v>
      </c>
      <c r="AF3" s="19">
        <f t="shared" si="0"/>
        <v>0</v>
      </c>
      <c r="AG3" s="19">
        <f t="shared" si="0"/>
        <v>0</v>
      </c>
      <c r="AH3" s="19">
        <f t="shared" si="0"/>
        <v>0</v>
      </c>
      <c r="AI3" s="19">
        <f t="shared" si="0"/>
        <v>0</v>
      </c>
      <c r="AJ3" s="19">
        <f t="shared" si="0"/>
        <v>0</v>
      </c>
      <c r="AK3" s="19">
        <f t="shared" si="0"/>
        <v>0</v>
      </c>
      <c r="AL3" s="19">
        <f t="shared" si="0"/>
        <v>1.8450184501845018E-3</v>
      </c>
      <c r="AM3" s="19">
        <f t="shared" si="0"/>
        <v>0</v>
      </c>
      <c r="AN3" s="19">
        <f t="shared" si="0"/>
        <v>0</v>
      </c>
      <c r="AO3" s="19">
        <f t="shared" si="0"/>
        <v>0</v>
      </c>
      <c r="AP3" s="19">
        <f t="shared" si="0"/>
        <v>0</v>
      </c>
      <c r="AQ3" s="19">
        <f t="shared" si="0"/>
        <v>0</v>
      </c>
      <c r="AR3" s="19">
        <f t="shared" si="0"/>
        <v>0</v>
      </c>
      <c r="AS3" s="19">
        <f t="shared" si="0"/>
        <v>0</v>
      </c>
      <c r="AT3" s="19">
        <f t="shared" si="0"/>
        <v>0</v>
      </c>
      <c r="AU3" s="19">
        <f t="shared" si="0"/>
        <v>0</v>
      </c>
      <c r="AV3" s="19">
        <f t="shared" si="0"/>
        <v>0</v>
      </c>
      <c r="AW3" s="19">
        <f t="shared" si="0"/>
        <v>0</v>
      </c>
      <c r="AX3" s="19">
        <f t="shared" si="0"/>
        <v>0</v>
      </c>
      <c r="AY3" s="19">
        <f t="shared" si="0"/>
        <v>1.8450184501845018E-3</v>
      </c>
      <c r="AZ3" s="19">
        <f t="shared" si="0"/>
        <v>9.2250922509225092E-3</v>
      </c>
      <c r="BA3" s="19">
        <f t="shared" si="0"/>
        <v>0</v>
      </c>
      <c r="BB3" s="19">
        <f t="shared" si="0"/>
        <v>0</v>
      </c>
      <c r="BC3" s="19">
        <f t="shared" si="0"/>
        <v>0</v>
      </c>
      <c r="BD3" s="19">
        <f t="shared" si="0"/>
        <v>0</v>
      </c>
      <c r="BE3" s="19">
        <f t="shared" si="0"/>
        <v>0</v>
      </c>
      <c r="BF3" s="19">
        <f t="shared" si="0"/>
        <v>0</v>
      </c>
      <c r="BG3" s="19">
        <f t="shared" si="0"/>
        <v>0</v>
      </c>
      <c r="BH3" s="19">
        <f t="shared" si="0"/>
        <v>0</v>
      </c>
      <c r="BI3" s="19">
        <f t="shared" si="0"/>
        <v>0</v>
      </c>
      <c r="BJ3" s="19">
        <f t="shared" si="0"/>
        <v>0</v>
      </c>
      <c r="BK3" s="19">
        <f t="shared" si="0"/>
        <v>0</v>
      </c>
      <c r="BL3" s="19">
        <f t="shared" si="0"/>
        <v>0</v>
      </c>
      <c r="BM3" s="19">
        <f t="shared" si="0"/>
        <v>0</v>
      </c>
      <c r="BN3" s="19">
        <f t="shared" si="0"/>
        <v>0</v>
      </c>
      <c r="BO3" s="19">
        <f t="shared" si="0"/>
        <v>0</v>
      </c>
      <c r="BP3" s="19">
        <f t="shared" si="0"/>
        <v>0</v>
      </c>
      <c r="BQ3" s="19">
        <f t="shared" si="0"/>
        <v>0</v>
      </c>
      <c r="BR3" s="19">
        <f t="shared" si="0"/>
        <v>0</v>
      </c>
      <c r="BS3" s="19">
        <f t="shared" si="0"/>
        <v>0</v>
      </c>
      <c r="BT3" s="19">
        <f t="shared" si="0"/>
        <v>0</v>
      </c>
      <c r="BU3" s="19">
        <f t="shared" si="0"/>
        <v>0</v>
      </c>
      <c r="BV3" s="19">
        <f t="shared" si="0"/>
        <v>0</v>
      </c>
      <c r="BW3" s="19">
        <f t="shared" ref="BW3:CI3" si="1">BW4/$F$4</f>
        <v>0</v>
      </c>
      <c r="BX3" s="19">
        <f t="shared" si="1"/>
        <v>0</v>
      </c>
      <c r="BY3" s="19">
        <f t="shared" si="1"/>
        <v>3.6900369003690036E-3</v>
      </c>
      <c r="BZ3" s="19">
        <f t="shared" si="1"/>
        <v>0</v>
      </c>
      <c r="CA3" s="19">
        <f t="shared" si="1"/>
        <v>0</v>
      </c>
      <c r="CB3" s="19">
        <f t="shared" si="1"/>
        <v>0</v>
      </c>
      <c r="CC3" s="19">
        <f t="shared" si="1"/>
        <v>0</v>
      </c>
      <c r="CD3" s="19">
        <f t="shared" si="1"/>
        <v>0</v>
      </c>
      <c r="CE3" s="19">
        <f t="shared" si="1"/>
        <v>0</v>
      </c>
      <c r="CF3" s="19">
        <f t="shared" si="1"/>
        <v>0</v>
      </c>
      <c r="CG3" s="19">
        <f t="shared" si="1"/>
        <v>0</v>
      </c>
      <c r="CH3" s="19">
        <f t="shared" si="1"/>
        <v>0</v>
      </c>
      <c r="CI3" s="19">
        <f t="shared" si="1"/>
        <v>0</v>
      </c>
    </row>
    <row r="4" spans="1:87" s="22" customFormat="1">
      <c r="A4" s="145" t="s">
        <v>32</v>
      </c>
      <c r="B4" s="146"/>
      <c r="C4" s="146"/>
      <c r="D4" s="146"/>
      <c r="E4" s="31">
        <v>9752</v>
      </c>
      <c r="F4" s="35">
        <v>542</v>
      </c>
      <c r="G4" s="75">
        <f>F4-H4</f>
        <v>528</v>
      </c>
      <c r="H4" s="75">
        <f>SUM(J4:CI4)</f>
        <v>14</v>
      </c>
      <c r="I4" s="76">
        <f>H4/F4</f>
        <v>2.5830258302583026E-2</v>
      </c>
      <c r="J4" s="21">
        <v>0</v>
      </c>
      <c r="K4" s="21">
        <v>0</v>
      </c>
      <c r="L4" s="21">
        <v>2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3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1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90">
        <v>0</v>
      </c>
      <c r="AV4" s="90">
        <v>0</v>
      </c>
      <c r="AW4" s="90">
        <v>0</v>
      </c>
      <c r="AX4" s="90">
        <v>0</v>
      </c>
      <c r="AY4" s="90">
        <v>1</v>
      </c>
      <c r="AZ4" s="90">
        <v>5</v>
      </c>
      <c r="BA4" s="90">
        <v>0</v>
      </c>
      <c r="BB4" s="90">
        <v>0</v>
      </c>
      <c r="BC4" s="90">
        <v>0</v>
      </c>
      <c r="BD4" s="90">
        <v>0</v>
      </c>
      <c r="BE4" s="90">
        <v>0</v>
      </c>
      <c r="BF4" s="90">
        <v>0</v>
      </c>
      <c r="BG4" s="90">
        <v>0</v>
      </c>
      <c r="BH4" s="90">
        <v>0</v>
      </c>
      <c r="BI4" s="90">
        <v>0</v>
      </c>
      <c r="BJ4" s="90">
        <v>0</v>
      </c>
      <c r="BK4" s="90">
        <v>0</v>
      </c>
      <c r="BL4" s="90">
        <v>0</v>
      </c>
      <c r="BM4" s="90">
        <v>0</v>
      </c>
      <c r="BN4" s="90">
        <v>0</v>
      </c>
      <c r="BO4" s="90">
        <v>0</v>
      </c>
      <c r="BP4" s="90">
        <v>0</v>
      </c>
      <c r="BQ4" s="90">
        <v>0</v>
      </c>
      <c r="BR4" s="90">
        <v>0</v>
      </c>
      <c r="BS4" s="90">
        <v>0</v>
      </c>
      <c r="BT4" s="90">
        <v>0</v>
      </c>
      <c r="BU4" s="90">
        <v>0</v>
      </c>
      <c r="BV4" s="90">
        <v>0</v>
      </c>
      <c r="BW4" s="90">
        <v>0</v>
      </c>
      <c r="BX4" s="90">
        <v>0</v>
      </c>
      <c r="BY4" s="90">
        <v>2</v>
      </c>
      <c r="BZ4" s="90">
        <v>0</v>
      </c>
      <c r="CA4" s="90">
        <v>0</v>
      </c>
      <c r="CB4" s="90">
        <v>0</v>
      </c>
      <c r="CC4" s="90">
        <v>0</v>
      </c>
      <c r="CD4" s="90">
        <v>0</v>
      </c>
      <c r="CE4" s="90">
        <v>0</v>
      </c>
      <c r="CF4" s="90">
        <v>0</v>
      </c>
      <c r="CG4" s="90">
        <v>0</v>
      </c>
      <c r="CH4" s="90">
        <v>0</v>
      </c>
      <c r="CI4" s="90">
        <v>0</v>
      </c>
    </row>
    <row r="5" spans="1:87" ht="20.45" customHeight="1">
      <c r="A5" s="23"/>
      <c r="B5" s="23"/>
      <c r="C5" s="24"/>
      <c r="D5" s="23"/>
      <c r="E5" s="23"/>
      <c r="F5" s="24"/>
      <c r="G5" s="23"/>
      <c r="H5" s="24"/>
      <c r="I5" s="25" t="e">
        <f t="shared" ref="I5:I8" si="2">H5/F5</f>
        <v>#DIV/0!</v>
      </c>
      <c r="J5" s="21">
        <v>0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</row>
    <row r="6" spans="1:87" ht="20.45" customHeight="1">
      <c r="A6" s="23"/>
      <c r="B6" s="23"/>
      <c r="C6" s="24"/>
      <c r="D6" s="23"/>
      <c r="E6" s="23"/>
      <c r="F6" s="24"/>
      <c r="G6" s="23"/>
      <c r="H6" s="24"/>
      <c r="I6" s="25" t="e">
        <f t="shared" si="2"/>
        <v>#DIV/0!</v>
      </c>
      <c r="J6" s="21">
        <v>0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</row>
    <row r="7" spans="1:87" ht="20.45" customHeight="1">
      <c r="A7" s="23"/>
      <c r="B7" s="23"/>
      <c r="C7" s="24"/>
      <c r="D7" s="23"/>
      <c r="E7" s="23"/>
      <c r="F7" s="24"/>
      <c r="G7" s="24"/>
      <c r="H7" s="24"/>
      <c r="I7" s="25" t="e">
        <f t="shared" si="2"/>
        <v>#DIV/0!</v>
      </c>
      <c r="J7" s="21">
        <v>0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</row>
    <row r="8" spans="1:87" ht="20.45" customHeight="1">
      <c r="A8" s="23"/>
      <c r="B8" s="23"/>
      <c r="C8" s="24"/>
      <c r="D8" s="23"/>
      <c r="E8" s="23"/>
      <c r="F8" s="24"/>
      <c r="G8" s="23"/>
      <c r="H8" s="24"/>
      <c r="I8" s="25" t="e">
        <f t="shared" si="2"/>
        <v>#DIV/0!</v>
      </c>
      <c r="J8" s="21">
        <v>0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</row>
    <row r="9" spans="1:87" ht="20.45" customHeight="1">
      <c r="A9" s="23"/>
      <c r="B9" s="23"/>
      <c r="C9" s="24"/>
      <c r="D9" s="23"/>
      <c r="E9" s="23"/>
      <c r="F9" s="24"/>
      <c r="G9" s="24"/>
      <c r="H9" s="24"/>
      <c r="I9" s="25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</row>
    <row r="10" spans="1:87" ht="20.45" customHeight="1">
      <c r="A10" s="23"/>
      <c r="B10" s="23"/>
      <c r="C10" s="24"/>
      <c r="D10" s="23"/>
      <c r="E10" s="23"/>
      <c r="F10" s="24"/>
      <c r="G10" s="23"/>
      <c r="H10" s="24"/>
      <c r="I10" s="25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</row>
    <row r="11" spans="1:87" ht="20.45" customHeight="1">
      <c r="A11" s="23"/>
      <c r="B11" s="23"/>
      <c r="C11" s="24"/>
      <c r="D11" s="23"/>
      <c r="E11" s="23"/>
      <c r="F11" s="24"/>
      <c r="G11" s="23"/>
      <c r="H11" s="24"/>
      <c r="I11" s="2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</row>
  </sheetData>
  <mergeCells count="15">
    <mergeCell ref="H2:H3"/>
    <mergeCell ref="I2:I3"/>
    <mergeCell ref="A4:D4"/>
    <mergeCell ref="A2:A3"/>
    <mergeCell ref="B2:B3"/>
    <mergeCell ref="C2:C3"/>
    <mergeCell ref="D2:D3"/>
    <mergeCell ref="F2:F3"/>
    <mergeCell ref="G2:G3"/>
    <mergeCell ref="AR1:AT1"/>
    <mergeCell ref="A1:I1"/>
    <mergeCell ref="J1:O1"/>
    <mergeCell ref="P1:AD1"/>
    <mergeCell ref="AE1:AI1"/>
    <mergeCell ref="AJ1:AO1"/>
  </mergeCells>
  <printOptions horizontalCentered="1"/>
  <pageMargins left="0.2" right="0.2" top="0.3" bottom="0.2" header="0.3" footer="0.3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Analysis</vt:lpstr>
      <vt:lpstr>Analysis(100%)</vt:lpstr>
      <vt:lpstr>Analysis(Final)</vt:lpstr>
      <vt:lpstr>Analysis(Re-Final)</vt:lpstr>
      <vt:lpstr>Analysis(100% Final)</vt:lpstr>
      <vt:lpstr>Analysis!Print_Area</vt:lpstr>
      <vt:lpstr>'Analysis(100% Final)'!Print_Area</vt:lpstr>
      <vt:lpstr>'Analysis(100%)'!Print_Area</vt:lpstr>
      <vt:lpstr>'Analysis(Final)'!Print_Area</vt:lpstr>
      <vt:lpstr>'Analysis(Re-Final)'!Print_Area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PQCBD</dc:creator>
  <cp:lastModifiedBy>Forhath PC</cp:lastModifiedBy>
  <cp:lastPrinted>2026-03-04T06:43:11Z</cp:lastPrinted>
  <dcterms:created xsi:type="dcterms:W3CDTF">2023-12-14T04:15:21Z</dcterms:created>
  <dcterms:modified xsi:type="dcterms:W3CDTF">2026-04-21T10:57:17Z</dcterms:modified>
</cp:coreProperties>
</file>